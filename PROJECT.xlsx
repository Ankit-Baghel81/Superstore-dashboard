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Ex2.xml" ContentType="application/vnd.ms-office.chartex+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Ex3.xml" ContentType="application/vnd.ms-office.chartex+xml"/>
  <Override PartName="/xl/charts/style9.xml" ContentType="application/vnd.ms-office.chartstyle+xml"/>
  <Override PartName="/xl/charts/colors9.xml" ContentType="application/vnd.ms-office.chartcolorstyle+xml"/>
  <Override PartName="/xl/charts/chart7.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2.xml" ContentType="application/vnd.openxmlformats-officedocument.drawing+xml"/>
  <Override PartName="/xl/drawings/drawing3.xml" ContentType="application/vnd.openxmlformats-officedocument.drawing+xml"/>
  <Override PartName="/xl/slicers/slicer2.xml" ContentType="application/vnd.ms-excel.slicer+xml"/>
  <Override PartName="/xl/timelines/timeline2.xml" ContentType="application/vnd.ms-excel.timeline+xml"/>
  <Override PartName="/xl/charts/chart8.xml" ContentType="application/vnd.openxmlformats-officedocument.drawingml.chart+xml"/>
  <Override PartName="/xl/charts/style11.xml" ContentType="application/vnd.ms-office.chartstyle+xml"/>
  <Override PartName="/xl/charts/colors11.xml" ContentType="application/vnd.ms-office.chartcolorstyle+xml"/>
  <Override PartName="/xl/charts/chart9.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4.xml" ContentType="application/vnd.openxmlformats-officedocument.drawing+xml"/>
  <Override PartName="/xl/slicers/slicer3.xml" ContentType="application/vnd.ms-excel.slicer+xml"/>
  <Override PartName="/xl/timelines/timeline3.xml" ContentType="application/vnd.ms-excel.timeline+xml"/>
  <Override PartName="/xl/charts/chartEx4.xml" ContentType="application/vnd.ms-office.chartex+xml"/>
  <Override PartName="/xl/charts/style13.xml" ContentType="application/vnd.ms-office.chartstyle+xml"/>
  <Override PartName="/xl/charts/colors13.xml" ContentType="application/vnd.ms-office.chartcolorstyle+xml"/>
  <Override PartName="/xl/charts/chart10.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5.xml" ContentType="application/vnd.openxmlformats-officedocument.drawing+xml"/>
  <Override PartName="/xl/slicers/slicer4.xml" ContentType="application/vnd.ms-excel.slicer+xml"/>
  <Override PartName="/xl/timelines/timeline4.xml" ContentType="application/vnd.ms-excel.timeline+xml"/>
  <Override PartName="/xl/charts/chart11.xml" ContentType="application/vnd.openxmlformats-officedocument.drawingml.chart+xml"/>
  <Override PartName="/xl/charts/style15.xml" ContentType="application/vnd.ms-office.chartstyle+xml"/>
  <Override PartName="/xl/charts/colors15.xml" ContentType="application/vnd.ms-office.chartcolorstyle+xml"/>
  <Override PartName="/xl/charts/chartEx5.xml" ContentType="application/vnd.ms-office.chartex+xml"/>
  <Override PartName="/xl/charts/style16.xml" ContentType="application/vnd.ms-office.chartstyle+xml"/>
  <Override PartName="/xl/charts/colors16.xml" ContentType="application/vnd.ms-office.chartcolorstyle+xml"/>
  <Override PartName="/xl/drawings/drawing6.xml" ContentType="application/vnd.openxmlformats-officedocument.drawing+xml"/>
  <Override PartName="/xl/slicers/slicer5.xml" ContentType="application/vnd.ms-excel.slicer+xml"/>
  <Override PartName="/xl/timelines/timeline5.xml" ContentType="application/vnd.ms-excel.timeline+xml"/>
  <Override PartName="/xl/charts/chart12.xml" ContentType="application/vnd.openxmlformats-officedocument.drawingml.chart+xml"/>
  <Override PartName="/xl/charts/style17.xml" ContentType="application/vnd.ms-office.chartstyle+xml"/>
  <Override PartName="/xl/charts/colors17.xml" ContentType="application/vnd.ms-office.chartcolorstyle+xml"/>
  <Override PartName="/xl/charts/chart13.xml" ContentType="application/vnd.openxmlformats-officedocument.drawingml.chart+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https://d.docs.live.net/0020fd638c4d1f40/Desktop/"/>
    </mc:Choice>
  </mc:AlternateContent>
  <xr:revisionPtr revIDLastSave="1" documentId="8_{28F803EE-57D5-4AFC-B5EC-21E682D2642E}" xr6:coauthVersionLast="47" xr6:coauthVersionMax="47" xr10:uidLastSave="{3CC91734-CE69-48EB-AABF-A07CDB695EF8}"/>
  <bookViews>
    <workbookView xWindow="-108" yWindow="-108" windowWidth="23256" windowHeight="12456" activeTab="3" xr2:uid="{880DE5A7-B710-45CE-84F9-3C7E1087AAE9}"/>
  </bookViews>
  <sheets>
    <sheet name="DATA" sheetId="1" r:id="rId1"/>
    <sheet name="PIVOT TABLE" sheetId="7" r:id="rId2"/>
    <sheet name="DASHBOARD" sheetId="2" r:id="rId3"/>
    <sheet name="ORDER" sheetId="3" r:id="rId4"/>
    <sheet name="CUSTOMER" sheetId="4" r:id="rId5"/>
    <sheet name="CITIES" sheetId="5" r:id="rId6"/>
    <sheet name="STATE" sheetId="6" r:id="rId7"/>
  </sheets>
  <externalReferences>
    <externalReference r:id="rId8"/>
  </externalReferences>
  <definedNames>
    <definedName name="_xlchart.v1.0" hidden="1">'PIVOT TABLE'!$N$3:$N$5</definedName>
    <definedName name="_xlchart.v1.1" hidden="1">'PIVOT TABLE'!$O$3:$O$5</definedName>
    <definedName name="_xlchart.v1.10" hidden="1">'PIVOT TABLE'!$N$3:$N$5</definedName>
    <definedName name="_xlchart.v1.11" hidden="1">'PIVOT TABLE'!$O$3:$O$5</definedName>
    <definedName name="_xlchart.v1.12" hidden="1">[1]Sheet11!$N$3:$N$5</definedName>
    <definedName name="_xlchart.v1.13" hidden="1">[1]Sheet11!$O$3:$O$5</definedName>
    <definedName name="_xlchart.v1.2" hidden="1">'PIVOT TABLE'!$N$3:$N$5</definedName>
    <definedName name="_xlchart.v1.3" hidden="1">'PIVOT TABLE'!$O$3:$O$5</definedName>
    <definedName name="_xlchart.v1.4" hidden="1">[1]Sheet11!$N$3:$N$5</definedName>
    <definedName name="_xlchart.v1.5" hidden="1">[1]Sheet11!$O$3:$O$5</definedName>
    <definedName name="_xlchart.v1.6" hidden="1">'PIVOT TABLE'!$C$88:$C$106</definedName>
    <definedName name="_xlchart.v1.7" hidden="1">'PIVOT TABLE'!$D$88:$D$106</definedName>
    <definedName name="_xlchart.v1.8" hidden="1">'PIVOT TABLE'!$C$88:$C$106</definedName>
    <definedName name="_xlchart.v1.9" hidden="1">'PIVOT TABLE'!$D$88:$D$106</definedName>
    <definedName name="ExternalData_1" localSheetId="0" hidden="1">DATA!$A$1:$E$501</definedName>
    <definedName name="NativeTimeline_Order_Date">#N/A</definedName>
    <definedName name="NativeTimeline_Order_Date4">#N/A</definedName>
    <definedName name="Slicer_City">#N/A</definedName>
    <definedName name="Slicer_City4">#N/A</definedName>
    <definedName name="Slicer_CustomerName">#N/A</definedName>
    <definedName name="Slicer_CustomerName4">#N/A</definedName>
    <definedName name="Slicer_State">#N/A</definedName>
    <definedName name="Slicer_State4">#N/A</definedName>
  </definedNames>
  <calcPr calcId="191029"/>
  <pivotCaches>
    <pivotCache cacheId="1" r:id="rId9"/>
  </pivotCaches>
  <extLst>
    <ext xmlns:x14="http://schemas.microsoft.com/office/spreadsheetml/2009/9/main" uri="{BBE1A952-AA13-448e-AADC-164F8A28A991}">
      <x14:slicerCaches>
        <x14:slicerCache r:id="rId10"/>
        <x14:slicerCache r:id="rId11"/>
        <x14:slicerCache r:id="rId12"/>
        <x14:slicerCache r:id="rId13"/>
        <x14:slicerCache r:id="rId14"/>
        <x14:slicerCache r:id="rId15"/>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6"/>
        <x15:timelineCacheRef r:id="rId17"/>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3" i="7" l="1"/>
  <c r="O3" i="7" s="1"/>
  <c r="O7" i="7"/>
  <c r="N4" i="7"/>
  <c r="O4" i="7" s="1"/>
  <c r="N5" i="7"/>
  <c r="O5" i="7" s="1"/>
  <c r="C170" i="7"/>
  <c r="B112" i="7"/>
  <c r="D107" i="7"/>
  <c r="C107" i="7"/>
  <c r="D106" i="7"/>
  <c r="C106" i="7"/>
  <c r="D105" i="7"/>
  <c r="C105" i="7"/>
  <c r="D104" i="7"/>
  <c r="C104" i="7"/>
  <c r="D103" i="7"/>
  <c r="C103" i="7"/>
  <c r="D102" i="7"/>
  <c r="C102" i="7"/>
  <c r="D101" i="7"/>
  <c r="C101" i="7"/>
  <c r="D100" i="7"/>
  <c r="C100" i="7"/>
  <c r="D99" i="7"/>
  <c r="C99" i="7"/>
  <c r="D98" i="7"/>
  <c r="C98" i="7"/>
  <c r="D97" i="7"/>
  <c r="C97" i="7"/>
  <c r="D96" i="7"/>
  <c r="C96" i="7"/>
  <c r="D95" i="7"/>
  <c r="C95" i="7"/>
  <c r="D94" i="7"/>
  <c r="C94" i="7"/>
  <c r="D93" i="7"/>
  <c r="C93" i="7"/>
  <c r="D92" i="7"/>
  <c r="C92" i="7"/>
  <c r="D91" i="7"/>
  <c r="C91" i="7"/>
  <c r="D90" i="7"/>
  <c r="C90" i="7"/>
  <c r="D89" i="7"/>
  <c r="C89" i="7"/>
  <c r="D88" i="7"/>
  <c r="C88" i="7"/>
  <c r="C81" i="7"/>
  <c r="C31" i="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A9EAD82-D152-495D-83D6-30AD7767AC51}" keepAlive="1" name="Query - Orders" description="Connection to the 'Orders' query in the workbook." type="5" refreshedVersion="8" background="1" saveData="1">
    <dbPr connection="Provider=Microsoft.Mashup.OleDb.1;Data Source=$Workbook$;Location=Orders;Extended Properties=&quot;&quot;" command="SELECT * FROM [Orders]"/>
  </connection>
</connections>
</file>

<file path=xl/sharedStrings.xml><?xml version="1.0" encoding="utf-8"?>
<sst xmlns="http://schemas.openxmlformats.org/spreadsheetml/2006/main" count="2817" uniqueCount="907">
  <si>
    <t>Order ID</t>
  </si>
  <si>
    <t>Order Date</t>
  </si>
  <si>
    <t>CustomerName</t>
  </si>
  <si>
    <t>State</t>
  </si>
  <si>
    <t>City</t>
  </si>
  <si>
    <t>B-26055</t>
  </si>
  <si>
    <t>Harivansh</t>
  </si>
  <si>
    <t>Uttar Pradesh</t>
  </si>
  <si>
    <t>Mathura</t>
  </si>
  <si>
    <t>B-25993</t>
  </si>
  <si>
    <t>Madhav</t>
  </si>
  <si>
    <t>Delhi</t>
  </si>
  <si>
    <t>B-25973</t>
  </si>
  <si>
    <t>Madan Mohan</t>
  </si>
  <si>
    <t>B-25923</t>
  </si>
  <si>
    <t>Gopal</t>
  </si>
  <si>
    <t>Maharashtra</t>
  </si>
  <si>
    <t>Mumbai</t>
  </si>
  <si>
    <t>B-25757</t>
  </si>
  <si>
    <t>Vishakha</t>
  </si>
  <si>
    <t>Madhya Pradesh</t>
  </si>
  <si>
    <t>Indore</t>
  </si>
  <si>
    <t>B-25967</t>
  </si>
  <si>
    <t>Sudevi</t>
  </si>
  <si>
    <t>Prayagraj</t>
  </si>
  <si>
    <t>B-25955</t>
  </si>
  <si>
    <t>Shiva</t>
  </si>
  <si>
    <t>Pune</t>
  </si>
  <si>
    <t>B-26093</t>
  </si>
  <si>
    <t>Sarita</t>
  </si>
  <si>
    <t>B-25798</t>
  </si>
  <si>
    <t>Shishu</t>
  </si>
  <si>
    <t>Andhra Pradesh</t>
  </si>
  <si>
    <t>Hyderabad</t>
  </si>
  <si>
    <t>B-25602</t>
  </si>
  <si>
    <t>Vrinda</t>
  </si>
  <si>
    <t>B-25858</t>
  </si>
  <si>
    <t>Uudhav</t>
  </si>
  <si>
    <t>B-25969</t>
  </si>
  <si>
    <t>Shreyshi</t>
  </si>
  <si>
    <t>Gujarat</t>
  </si>
  <si>
    <t>Surat</t>
  </si>
  <si>
    <t>B-26099</t>
  </si>
  <si>
    <t>Bhishm</t>
  </si>
  <si>
    <t>B-25997</t>
  </si>
  <si>
    <t>Yogesh</t>
  </si>
  <si>
    <t>B-25881</t>
  </si>
  <si>
    <t>Lalita</t>
  </si>
  <si>
    <t>B-25761</t>
  </si>
  <si>
    <t>B-25887</t>
  </si>
  <si>
    <t>B-25823</t>
  </si>
  <si>
    <t>Rohan</t>
  </si>
  <si>
    <t>B-25853</t>
  </si>
  <si>
    <t>Gaurav</t>
  </si>
  <si>
    <t>Ahmedabad</t>
  </si>
  <si>
    <t>B-25862</t>
  </si>
  <si>
    <t>Amol</t>
  </si>
  <si>
    <t>Bihar</t>
  </si>
  <si>
    <t>Patna</t>
  </si>
  <si>
    <t>B-25830</t>
  </si>
  <si>
    <t>Aastha</t>
  </si>
  <si>
    <t>Himachal Pradesh</t>
  </si>
  <si>
    <t>Simla</t>
  </si>
  <si>
    <t>B-25786</t>
  </si>
  <si>
    <t>B-25686</t>
  </si>
  <si>
    <t>Pooja</t>
  </si>
  <si>
    <t>B-26022</t>
  </si>
  <si>
    <t>Shrichand</t>
  </si>
  <si>
    <t>Punjab</t>
  </si>
  <si>
    <t>Chandigarh</t>
  </si>
  <si>
    <t>B-26003</t>
  </si>
  <si>
    <t>Hitesh</t>
  </si>
  <si>
    <t>Bhopal</t>
  </si>
  <si>
    <t>B-25755</t>
  </si>
  <si>
    <t>Shourya</t>
  </si>
  <si>
    <t xml:space="preserve">Kerala </t>
  </si>
  <si>
    <t>Thiruvananthapuram</t>
  </si>
  <si>
    <t>B-25902</t>
  </si>
  <si>
    <t>Ishpreet</t>
  </si>
  <si>
    <t>B-25935</t>
  </si>
  <si>
    <t>Sudhir</t>
  </si>
  <si>
    <t>Nagaland</t>
  </si>
  <si>
    <t>Kohima</t>
  </si>
  <si>
    <t>B-25797</t>
  </si>
  <si>
    <t>Sauptik</t>
  </si>
  <si>
    <t>B-25639</t>
  </si>
  <si>
    <t>Lisha</t>
  </si>
  <si>
    <t>B-25681</t>
  </si>
  <si>
    <t>Bhawna</t>
  </si>
  <si>
    <t>B-25909</t>
  </si>
  <si>
    <t>Sujay</t>
  </si>
  <si>
    <t>B-25910</t>
  </si>
  <si>
    <t>Jay</t>
  </si>
  <si>
    <t>B-25950</t>
  </si>
  <si>
    <t>Shruti</t>
  </si>
  <si>
    <t>B-25613</t>
  </si>
  <si>
    <t>Mohan</t>
  </si>
  <si>
    <t>Haryana</t>
  </si>
  <si>
    <t>B-25919</t>
  </si>
  <si>
    <t>Neha</t>
  </si>
  <si>
    <t>Rajasthan</t>
  </si>
  <si>
    <t>Udaipur</t>
  </si>
  <si>
    <t>B-25768</t>
  </si>
  <si>
    <t>Shreyoshe</t>
  </si>
  <si>
    <t>Karnataka</t>
  </si>
  <si>
    <t>Bangalore</t>
  </si>
  <si>
    <t>B-25629</t>
  </si>
  <si>
    <t>Hemant</t>
  </si>
  <si>
    <t>B-25729</t>
  </si>
  <si>
    <t>Madhulika</t>
  </si>
  <si>
    <t>B-25943</t>
  </si>
  <si>
    <t>Shardul</t>
  </si>
  <si>
    <t>B-25842</t>
  </si>
  <si>
    <t>Sheetal</t>
  </si>
  <si>
    <t>B-26073</t>
  </si>
  <si>
    <t>Pournamasi</t>
  </si>
  <si>
    <t>B-25778</t>
  </si>
  <si>
    <t>Surabhi</t>
  </si>
  <si>
    <t>B-25717</t>
  </si>
  <si>
    <t>Manshul</t>
  </si>
  <si>
    <t>Lucknow</t>
  </si>
  <si>
    <t>B-26085</t>
  </si>
  <si>
    <t>B-26048</t>
  </si>
  <si>
    <t>Parth</t>
  </si>
  <si>
    <t>B-25793</t>
  </si>
  <si>
    <t>Siddharth</t>
  </si>
  <si>
    <t>B-25656</t>
  </si>
  <si>
    <t>Priyanka</t>
  </si>
  <si>
    <t>B-25608</t>
  </si>
  <si>
    <t>Aarushi</t>
  </si>
  <si>
    <t>Tamil Nadu</t>
  </si>
  <si>
    <t>Chennai</t>
  </si>
  <si>
    <t>B-25752</t>
  </si>
  <si>
    <t>Vaibhav</t>
  </si>
  <si>
    <t>B-25779</t>
  </si>
  <si>
    <t>Savi</t>
  </si>
  <si>
    <t>B-25603</t>
  </si>
  <si>
    <t>Jahan</t>
  </si>
  <si>
    <t>B-26051</t>
  </si>
  <si>
    <t>Parishi</t>
  </si>
  <si>
    <t>West Bengal</t>
  </si>
  <si>
    <t>Kolkata</t>
  </si>
  <si>
    <t>B-25653</t>
  </si>
  <si>
    <t>Farah</t>
  </si>
  <si>
    <t>B-25855</t>
  </si>
  <si>
    <t>Abhijeet</t>
  </si>
  <si>
    <t>B-25762</t>
  </si>
  <si>
    <t>Anudeep</t>
  </si>
  <si>
    <t>B-25995</t>
  </si>
  <si>
    <t>Yohann</t>
  </si>
  <si>
    <t>B-25929</t>
  </si>
  <si>
    <t>Girase</t>
  </si>
  <si>
    <t>B-26006</t>
  </si>
  <si>
    <t>Arpita</t>
  </si>
  <si>
    <t>B-25697</t>
  </si>
  <si>
    <t>Vijay</t>
  </si>
  <si>
    <t>Jammu and Kashmir</t>
  </si>
  <si>
    <t>Kashmir</t>
  </si>
  <si>
    <t>B-25836</t>
  </si>
  <si>
    <t>Arti</t>
  </si>
  <si>
    <t>B-25601</t>
  </si>
  <si>
    <t>Bharat</t>
  </si>
  <si>
    <t>B-25873</t>
  </si>
  <si>
    <t>Divyeta</t>
  </si>
  <si>
    <t>B-26028</t>
  </si>
  <si>
    <t>Manju</t>
  </si>
  <si>
    <t>B-25964</t>
  </si>
  <si>
    <t>Oshin</t>
  </si>
  <si>
    <t>B-25676</t>
  </si>
  <si>
    <t>Chandni</t>
  </si>
  <si>
    <t>Jaipur</t>
  </si>
  <si>
    <t>B-25839</t>
  </si>
  <si>
    <t>Pranjali</t>
  </si>
  <si>
    <t>B-25894</t>
  </si>
  <si>
    <t>Monu</t>
  </si>
  <si>
    <t>Amritsar</t>
  </si>
  <si>
    <t>B-25925</t>
  </si>
  <si>
    <t>B-25953</t>
  </si>
  <si>
    <t>Krutika</t>
  </si>
  <si>
    <t>B-25772</t>
  </si>
  <si>
    <t>Sanjana</t>
  </si>
  <si>
    <t>B-25957</t>
  </si>
  <si>
    <t>Mahima</t>
  </si>
  <si>
    <t>B-25730</t>
  </si>
  <si>
    <t>Rishabh</t>
  </si>
  <si>
    <t>B-25877</t>
  </si>
  <si>
    <t>Dashyam</t>
  </si>
  <si>
    <t>B-26067</t>
  </si>
  <si>
    <t>Tulika</t>
  </si>
  <si>
    <t>B-25810</t>
  </si>
  <si>
    <t>Nripraj</t>
  </si>
  <si>
    <t>B-25868</t>
  </si>
  <si>
    <t>Vikash</t>
  </si>
  <si>
    <t>Goa</t>
  </si>
  <si>
    <t>B-26023</t>
  </si>
  <si>
    <t>Mukesh</t>
  </si>
  <si>
    <t>B-25626</t>
  </si>
  <si>
    <t>B-25937</t>
  </si>
  <si>
    <t>Ankit</t>
  </si>
  <si>
    <t>B-25610</t>
  </si>
  <si>
    <t>B-25777</t>
  </si>
  <si>
    <t>Aditi</t>
  </si>
  <si>
    <t>B-25738</t>
  </si>
  <si>
    <t>Ayush</t>
  </si>
  <si>
    <t>B-25978</t>
  </si>
  <si>
    <t>Parin</t>
  </si>
  <si>
    <t>B-25643</t>
  </si>
  <si>
    <t>Kirti</t>
  </si>
  <si>
    <t>B-25728</t>
  </si>
  <si>
    <t>Ameesha</t>
  </si>
  <si>
    <t>B-25749</t>
  </si>
  <si>
    <t>B-25667</t>
  </si>
  <si>
    <t>Anjali</t>
  </si>
  <si>
    <t>B-25657</t>
  </si>
  <si>
    <t>B-25753</t>
  </si>
  <si>
    <t>Shivam</t>
  </si>
  <si>
    <t>B-26061</t>
  </si>
  <si>
    <t>Anurag</t>
  </si>
  <si>
    <t>B-25838</t>
  </si>
  <si>
    <t>B-25702</t>
  </si>
  <si>
    <t>Shaily</t>
  </si>
  <si>
    <t>B-25952</t>
  </si>
  <si>
    <t>B-25666</t>
  </si>
  <si>
    <t>Tanvi</t>
  </si>
  <si>
    <t>B-25675</t>
  </si>
  <si>
    <t>Shreya</t>
  </si>
  <si>
    <t>B-25650</t>
  </si>
  <si>
    <t>Chirag</t>
  </si>
  <si>
    <t>B-25986</t>
  </si>
  <si>
    <t>Shweta</t>
  </si>
  <si>
    <t>B-25850</t>
  </si>
  <si>
    <t>Abhishek</t>
  </si>
  <si>
    <t>B-25898</t>
  </si>
  <si>
    <t>B-25813</t>
  </si>
  <si>
    <t>Hrisheekesh</t>
  </si>
  <si>
    <t>B-25825</t>
  </si>
  <si>
    <t>Kartik</t>
  </si>
  <si>
    <t>B-25954</t>
  </si>
  <si>
    <t>Trupti</t>
  </si>
  <si>
    <t>B-25696</t>
  </si>
  <si>
    <t>Noopur</t>
  </si>
  <si>
    <t>B-25638</t>
  </si>
  <si>
    <t>B-25747</t>
  </si>
  <si>
    <t>Harsh</t>
  </si>
  <si>
    <t>B-25904</t>
  </si>
  <si>
    <t>Swapnil</t>
  </si>
  <si>
    <t>B-25852</t>
  </si>
  <si>
    <t>Soumyabrata</t>
  </si>
  <si>
    <t>B-25981</t>
  </si>
  <si>
    <t>Amruta</t>
  </si>
  <si>
    <t>B-25899</t>
  </si>
  <si>
    <t>Aishwarya</t>
  </si>
  <si>
    <t>B-25870</t>
  </si>
  <si>
    <t>Pranav</t>
  </si>
  <si>
    <t>B-26040</t>
  </si>
  <si>
    <t>Sahil</t>
  </si>
  <si>
    <t>B-25671</t>
  </si>
  <si>
    <t>Mitali</t>
  </si>
  <si>
    <t>B-26100</t>
  </si>
  <si>
    <t>Hitika</t>
  </si>
  <si>
    <t>B-25651</t>
  </si>
  <si>
    <t>B-25968</t>
  </si>
  <si>
    <t>Paromita</t>
  </si>
  <si>
    <t>B-26019</t>
  </si>
  <si>
    <t>Jitesh</t>
  </si>
  <si>
    <t>B-25664</t>
  </si>
  <si>
    <t>Pratyusmita</t>
  </si>
  <si>
    <t>B-26033</t>
  </si>
  <si>
    <t>Atharv</t>
  </si>
  <si>
    <t>B-26052</t>
  </si>
  <si>
    <t>Ajay</t>
  </si>
  <si>
    <t>B-25999</t>
  </si>
  <si>
    <t>Diwakar</t>
  </si>
  <si>
    <t>B-25781</t>
  </si>
  <si>
    <t>Rutuja</t>
  </si>
  <si>
    <t>B-25764</t>
  </si>
  <si>
    <t>Sanjova</t>
  </si>
  <si>
    <t>B-25803</t>
  </si>
  <si>
    <t>Shivanshu</t>
  </si>
  <si>
    <t>B-25945</t>
  </si>
  <si>
    <t>Mhatre</t>
  </si>
  <si>
    <t>B-26086</t>
  </si>
  <si>
    <t>B-25845</t>
  </si>
  <si>
    <t>Snel</t>
  </si>
  <si>
    <t>B-25817</t>
  </si>
  <si>
    <t>Praneet</t>
  </si>
  <si>
    <t>B-25951</t>
  </si>
  <si>
    <t>Jesal</t>
  </si>
  <si>
    <t>B-25970</t>
  </si>
  <si>
    <t>Rhea</t>
  </si>
  <si>
    <t>B-25878</t>
  </si>
  <si>
    <t>Mrinal</t>
  </si>
  <si>
    <t>B-26057</t>
  </si>
  <si>
    <t>Sharda</t>
  </si>
  <si>
    <t>B-25885</t>
  </si>
  <si>
    <t>Shatayu</t>
  </si>
  <si>
    <t>B-25897</t>
  </si>
  <si>
    <t>B-25756</t>
  </si>
  <si>
    <t>B-25859</t>
  </si>
  <si>
    <t>Chikku</t>
  </si>
  <si>
    <t>B-25691</t>
  </si>
  <si>
    <t>Akancha</t>
  </si>
  <si>
    <t>B-25633</t>
  </si>
  <si>
    <t>Amit</t>
  </si>
  <si>
    <t>Sikkim</t>
  </si>
  <si>
    <t>Gangtok</t>
  </si>
  <si>
    <t>B-25708</t>
  </si>
  <si>
    <t>Kishwar</t>
  </si>
  <si>
    <t>B-25831</t>
  </si>
  <si>
    <t>B-25856</t>
  </si>
  <si>
    <t>B-25893</t>
  </si>
  <si>
    <t>B-25959</t>
  </si>
  <si>
    <t>Muskan</t>
  </si>
  <si>
    <t>B-26000</t>
  </si>
  <si>
    <t>Shubham</t>
  </si>
  <si>
    <t>B-26097</t>
  </si>
  <si>
    <t>Vini</t>
  </si>
  <si>
    <t>B-25745</t>
  </si>
  <si>
    <t>B-25974</t>
  </si>
  <si>
    <t>Manisha</t>
  </si>
  <si>
    <t>B-25670</t>
  </si>
  <si>
    <t>Charika</t>
  </si>
  <si>
    <t>B-25848</t>
  </si>
  <si>
    <t>B-25888</t>
  </si>
  <si>
    <t>B-25942</t>
  </si>
  <si>
    <t>Ankur</t>
  </si>
  <si>
    <t>B-25847</t>
  </si>
  <si>
    <t>Aniket</t>
  </si>
  <si>
    <t>B-25636</t>
  </si>
  <si>
    <t>Nishi</t>
  </si>
  <si>
    <t>B-25826</t>
  </si>
  <si>
    <t>Tanushree</t>
  </si>
  <si>
    <t>B-26081</t>
  </si>
  <si>
    <t>B-25625</t>
  </si>
  <si>
    <t>Pinky</t>
  </si>
  <si>
    <t>B-25802</t>
  </si>
  <si>
    <t>Yash</t>
  </si>
  <si>
    <t>B-25693</t>
  </si>
  <si>
    <t>Parna</t>
  </si>
  <si>
    <t>B-25796</t>
  </si>
  <si>
    <t>Sukrith</t>
  </si>
  <si>
    <t>B-25806</t>
  </si>
  <si>
    <t>Dhanraj</t>
  </si>
  <si>
    <t>B-25710</t>
  </si>
  <si>
    <t>Megha</t>
  </si>
  <si>
    <t>B-25669</t>
  </si>
  <si>
    <t>Piyali</t>
  </si>
  <si>
    <t>B-25857</t>
  </si>
  <si>
    <t>Anand</t>
  </si>
  <si>
    <t>B-25785</t>
  </si>
  <si>
    <t>B-25930</t>
  </si>
  <si>
    <t>Monica</t>
  </si>
  <si>
    <t>B-26053</t>
  </si>
  <si>
    <t>B-26070</t>
  </si>
  <si>
    <t>B-25791</t>
  </si>
  <si>
    <t>Avish</t>
  </si>
  <si>
    <t>B-25983</t>
  </si>
  <si>
    <t>Atul</t>
  </si>
  <si>
    <t>B-25979</t>
  </si>
  <si>
    <t>Shivangi</t>
  </si>
  <si>
    <t>B-26054</t>
  </si>
  <si>
    <t>Mayank</t>
  </si>
  <si>
    <t>B-26078</t>
  </si>
  <si>
    <t>Kasheen</t>
  </si>
  <si>
    <t>B-25787</t>
  </si>
  <si>
    <t>Asish</t>
  </si>
  <si>
    <t>B-25682</t>
  </si>
  <si>
    <t>B-25962</t>
  </si>
  <si>
    <t>Tejeswini</t>
  </si>
  <si>
    <t>B-25750</t>
  </si>
  <si>
    <t>Priyanshu</t>
  </si>
  <si>
    <t>B-25828</t>
  </si>
  <si>
    <t>Nikita</t>
  </si>
  <si>
    <t>B-25622</t>
  </si>
  <si>
    <t>Monisha</t>
  </si>
  <si>
    <t>B-25751</t>
  </si>
  <si>
    <t>Nishant</t>
  </si>
  <si>
    <t>B-25685</t>
  </si>
  <si>
    <t>B-26010</t>
  </si>
  <si>
    <t>Kartikay</t>
  </si>
  <si>
    <t>B-26035</t>
  </si>
  <si>
    <t>B-25698</t>
  </si>
  <si>
    <t>Amisha</t>
  </si>
  <si>
    <t>B-25966</t>
  </si>
  <si>
    <t>Soumya</t>
  </si>
  <si>
    <t>B-25832</t>
  </si>
  <si>
    <t>Harshita</t>
  </si>
  <si>
    <t>B-25743</t>
  </si>
  <si>
    <t>Aman</t>
  </si>
  <si>
    <t>B-25886</t>
  </si>
  <si>
    <t>Brijesh</t>
  </si>
  <si>
    <t>B-25975</t>
  </si>
  <si>
    <t>B-26098</t>
  </si>
  <si>
    <t>B-25614</t>
  </si>
  <si>
    <t>Vandana</t>
  </si>
  <si>
    <t>B-25726</t>
  </si>
  <si>
    <t>Kiran</t>
  </si>
  <si>
    <t>B-26050</t>
  </si>
  <si>
    <t>Paridhi</t>
  </si>
  <si>
    <t>B-25609</t>
  </si>
  <si>
    <t>B-25741</t>
  </si>
  <si>
    <t>Navdeep</t>
  </si>
  <si>
    <t>B-25956</t>
  </si>
  <si>
    <t>B-25689</t>
  </si>
  <si>
    <t>Bhaggyasree</t>
  </si>
  <si>
    <t>B-25939</t>
  </si>
  <si>
    <t>Vineet</t>
  </si>
  <si>
    <t>B-25890</t>
  </si>
  <si>
    <t>Divyansha</t>
  </si>
  <si>
    <t>B-25814</t>
  </si>
  <si>
    <t>B-25718</t>
  </si>
  <si>
    <t>B-25914</t>
  </si>
  <si>
    <t>Kajal</t>
  </si>
  <si>
    <t>B-25903</t>
  </si>
  <si>
    <t>Amlan</t>
  </si>
  <si>
    <t>B-26096</t>
  </si>
  <si>
    <t>B-25654</t>
  </si>
  <si>
    <t>Sabah</t>
  </si>
  <si>
    <t>B-26076</t>
  </si>
  <si>
    <t>B-25961</t>
  </si>
  <si>
    <t>Surbhi</t>
  </si>
  <si>
    <t>B-25854</t>
  </si>
  <si>
    <t>B-25642</t>
  </si>
  <si>
    <t>B-25683</t>
  </si>
  <si>
    <t>B-26016</t>
  </si>
  <si>
    <t>Hazel</t>
  </si>
  <si>
    <t>B-26034</t>
  </si>
  <si>
    <t>B-26056</t>
  </si>
  <si>
    <t>Sonal</t>
  </si>
  <si>
    <t>B-25819</t>
  </si>
  <si>
    <t>B-25715</t>
  </si>
  <si>
    <t>Srishti</t>
  </si>
  <si>
    <t>B-25933</t>
  </si>
  <si>
    <t>Shikhar</t>
  </si>
  <si>
    <t>B-26014</t>
  </si>
  <si>
    <t>Divsha</t>
  </si>
  <si>
    <t>B-25655</t>
  </si>
  <si>
    <t>Nida</t>
  </si>
  <si>
    <t>B-25816</t>
  </si>
  <si>
    <t>Mane</t>
  </si>
  <si>
    <t>B-25634</t>
  </si>
  <si>
    <t>Sanjay</t>
  </si>
  <si>
    <t>B-25895</t>
  </si>
  <si>
    <t>Sathya</t>
  </si>
  <si>
    <t>B-25687</t>
  </si>
  <si>
    <t>Sanjna</t>
  </si>
  <si>
    <t>B-25662</t>
  </si>
  <si>
    <t>Sweta</t>
  </si>
  <si>
    <t>B-25635</t>
  </si>
  <si>
    <t>Nidhi</t>
  </si>
  <si>
    <t>B-26060</t>
  </si>
  <si>
    <t>B-26045</t>
  </si>
  <si>
    <t>B-25770</t>
  </si>
  <si>
    <t>Sakshi</t>
  </si>
  <si>
    <t>B-25744</t>
  </si>
  <si>
    <t>Devendra</t>
  </si>
  <si>
    <t>B-25618</t>
  </si>
  <si>
    <t>B-25958</t>
  </si>
  <si>
    <t>Aparajita</t>
  </si>
  <si>
    <t>B-25769</t>
  </si>
  <si>
    <t>B-25619</t>
  </si>
  <si>
    <t>Ramesh</t>
  </si>
  <si>
    <t>B-25688</t>
  </si>
  <si>
    <t>Swetha</t>
  </si>
  <si>
    <t>B-25829</t>
  </si>
  <si>
    <t>Apoorva</t>
  </si>
  <si>
    <t>B-26036</t>
  </si>
  <si>
    <t>B-25714</t>
  </si>
  <si>
    <t>Stuti</t>
  </si>
  <si>
    <t>B-25989</t>
  </si>
  <si>
    <t>B-25849</t>
  </si>
  <si>
    <t>K</t>
  </si>
  <si>
    <t>B-25851</t>
  </si>
  <si>
    <t>Kushal</t>
  </si>
  <si>
    <t>B-25782</t>
  </si>
  <si>
    <t>Aayushi</t>
  </si>
  <si>
    <t>B-25621</t>
  </si>
  <si>
    <t>Deepak</t>
  </si>
  <si>
    <t>B-25996</t>
  </si>
  <si>
    <t>Prashant</t>
  </si>
  <si>
    <t>B-25678</t>
  </si>
  <si>
    <t>Bathina</t>
  </si>
  <si>
    <t>B-25727</t>
  </si>
  <si>
    <t>Turumella</t>
  </si>
  <si>
    <t>B-26018</t>
  </si>
  <si>
    <t>B-25760</t>
  </si>
  <si>
    <t>B-25804</t>
  </si>
  <si>
    <t>Sudheer</t>
  </si>
  <si>
    <t>B-25754</t>
  </si>
  <si>
    <t>Akshay</t>
  </si>
  <si>
    <t>B-26020</t>
  </si>
  <si>
    <t>B-25640</t>
  </si>
  <si>
    <t>B-25789</t>
  </si>
  <si>
    <t>B-26072</t>
  </si>
  <si>
    <t>B-26007</t>
  </si>
  <si>
    <t>B-26087</t>
  </si>
  <si>
    <t>B-25617</t>
  </si>
  <si>
    <t>Sagar</t>
  </si>
  <si>
    <t>B-25984</t>
  </si>
  <si>
    <t>B-25767</t>
  </si>
  <si>
    <t>Ashmeet</t>
  </si>
  <si>
    <t>B-25987</t>
  </si>
  <si>
    <t>Manjiri</t>
  </si>
  <si>
    <t>B-25840</t>
  </si>
  <si>
    <t>Sneha</t>
  </si>
  <si>
    <t>B-25663</t>
  </si>
  <si>
    <t>B-26030</t>
  </si>
  <si>
    <t>B-25947</t>
  </si>
  <si>
    <t>Chetan</t>
  </si>
  <si>
    <t>B-25896</t>
  </si>
  <si>
    <t>B-26009</t>
  </si>
  <si>
    <t>Komal</t>
  </si>
  <si>
    <t>B-25876</t>
  </si>
  <si>
    <t>Bhosale</t>
  </si>
  <si>
    <t>B-25915</t>
  </si>
  <si>
    <t>Sukruta</t>
  </si>
  <si>
    <t>B-25795</t>
  </si>
  <si>
    <t>Sukant</t>
  </si>
  <si>
    <t>B-26002</t>
  </si>
  <si>
    <t>B-25645</t>
  </si>
  <si>
    <t>Yaanvi</t>
  </si>
  <si>
    <t>B-25837</t>
  </si>
  <si>
    <t>Palak</t>
  </si>
  <si>
    <t>B-25612</t>
  </si>
  <si>
    <t>B-25812</t>
  </si>
  <si>
    <t>Kshitij</t>
  </si>
  <si>
    <t>B-25843</t>
  </si>
  <si>
    <t>Mrunal</t>
  </si>
  <si>
    <t>B-26026</t>
  </si>
  <si>
    <t>Kanak</t>
  </si>
  <si>
    <t>B-25773</t>
  </si>
  <si>
    <t>B-25875</t>
  </si>
  <si>
    <t>Divyeshkumar</t>
  </si>
  <si>
    <t>B-25660</t>
  </si>
  <si>
    <t>B-25918</t>
  </si>
  <si>
    <t>Karandeep</t>
  </si>
  <si>
    <t>B-25971</t>
  </si>
  <si>
    <t>B-26063</t>
  </si>
  <si>
    <t>B-25867</t>
  </si>
  <si>
    <t>B-25703</t>
  </si>
  <si>
    <t>Ekta</t>
  </si>
  <si>
    <t>B-25661</t>
  </si>
  <si>
    <t>Subhashree</t>
  </si>
  <si>
    <t>B-25748</t>
  </si>
  <si>
    <t>Nitant</t>
  </si>
  <si>
    <t>B-25766</t>
  </si>
  <si>
    <t>B-25861</t>
  </si>
  <si>
    <t>Aayush</t>
  </si>
  <si>
    <t>B-26058</t>
  </si>
  <si>
    <t>Aditya</t>
  </si>
  <si>
    <t>B-25808</t>
  </si>
  <si>
    <t>Apsingekar</t>
  </si>
  <si>
    <t>B-25900</t>
  </si>
  <si>
    <t>B-26084</t>
  </si>
  <si>
    <t>Anita</t>
  </si>
  <si>
    <t>B-25652</t>
  </si>
  <si>
    <t>Tushina</t>
  </si>
  <si>
    <t>B-26008</t>
  </si>
  <si>
    <t>Kalyani</t>
  </si>
  <si>
    <t>B-25799</t>
  </si>
  <si>
    <t>Divyansh</t>
  </si>
  <si>
    <t>B-25927</t>
  </si>
  <si>
    <t>B-25985</t>
  </si>
  <si>
    <t>Ginny</t>
  </si>
  <si>
    <t>B-25994</t>
  </si>
  <si>
    <t>Omkar</t>
  </si>
  <si>
    <t>B-25620</t>
  </si>
  <si>
    <t>B-25712</t>
  </si>
  <si>
    <t>Adhvaita</t>
  </si>
  <si>
    <t>B-25976</t>
  </si>
  <si>
    <t>Piyam</t>
  </si>
  <si>
    <t>B-26068</t>
  </si>
  <si>
    <t>Shefali</t>
  </si>
  <si>
    <t>B-25721</t>
  </si>
  <si>
    <t>Anchal</t>
  </si>
  <si>
    <t>B-25863</t>
  </si>
  <si>
    <t>Manibalan</t>
  </si>
  <si>
    <t>B-25991</t>
  </si>
  <si>
    <t>Mansi</t>
  </si>
  <si>
    <t>B-25737</t>
  </si>
  <si>
    <t>B-26043</t>
  </si>
  <si>
    <t>B-25977</t>
  </si>
  <si>
    <t>B-25908</t>
  </si>
  <si>
    <t>Pradeep</t>
  </si>
  <si>
    <t>B-25941</t>
  </si>
  <si>
    <t>Jaideep</t>
  </si>
  <si>
    <t>B-25794</t>
  </si>
  <si>
    <t>B-26041</t>
  </si>
  <si>
    <t>Ritu</t>
  </si>
  <si>
    <t>B-25695</t>
  </si>
  <si>
    <t>Suhani</t>
  </si>
  <si>
    <t>B-25960</t>
  </si>
  <si>
    <t>B-26037</t>
  </si>
  <si>
    <t>B-25921</t>
  </si>
  <si>
    <t>Sandra</t>
  </si>
  <si>
    <t>B-25944</t>
  </si>
  <si>
    <t>Syed</t>
  </si>
  <si>
    <t>B-25724</t>
  </si>
  <si>
    <t>B-26024</t>
  </si>
  <si>
    <t>B-25694</t>
  </si>
  <si>
    <t>Subhasmita</t>
  </si>
  <si>
    <t>B-25665</t>
  </si>
  <si>
    <t>Chayanika</t>
  </si>
  <si>
    <t>B-26004</t>
  </si>
  <si>
    <t>Nandita</t>
  </si>
  <si>
    <t>B-25611</t>
  </si>
  <si>
    <t>B-25901</t>
  </si>
  <si>
    <t>Suraj</t>
  </si>
  <si>
    <t>B-25623</t>
  </si>
  <si>
    <t>B-25713</t>
  </si>
  <si>
    <t>Raksha</t>
  </si>
  <si>
    <t>B-26091</t>
  </si>
  <si>
    <t>B-25604</t>
  </si>
  <si>
    <t>B-25827</t>
  </si>
  <si>
    <t>B-25835</t>
  </si>
  <si>
    <t>Moumita</t>
  </si>
  <si>
    <t>B-26025</t>
  </si>
  <si>
    <t>Bhavna</t>
  </si>
  <si>
    <t>B-25809</t>
  </si>
  <si>
    <t>Suman</t>
  </si>
  <si>
    <t>B-25905</t>
  </si>
  <si>
    <t>Bhargav</t>
  </si>
  <si>
    <t>B-25948</t>
  </si>
  <si>
    <t>Mukund</t>
  </si>
  <si>
    <t>B-26094</t>
  </si>
  <si>
    <t>B-25949</t>
  </si>
  <si>
    <t>Shantanu</t>
  </si>
  <si>
    <t>B-26001</t>
  </si>
  <si>
    <t>Patil</t>
  </si>
  <si>
    <t>B-25771</t>
  </si>
  <si>
    <t>Vaibhavi</t>
  </si>
  <si>
    <t>B-25659</t>
  </si>
  <si>
    <t>Sanskriti</t>
  </si>
  <si>
    <t>B-25924</t>
  </si>
  <si>
    <t>Prajakta</t>
  </si>
  <si>
    <t>B-25883</t>
  </si>
  <si>
    <t>Saptadeep</t>
  </si>
  <si>
    <t>B-25946</t>
  </si>
  <si>
    <t>Saurabh</t>
  </si>
  <si>
    <t>B-26065</t>
  </si>
  <si>
    <t>B-26083</t>
  </si>
  <si>
    <t>B-25725</t>
  </si>
  <si>
    <t>Anisha</t>
  </si>
  <si>
    <t>B-25630</t>
  </si>
  <si>
    <t>B-25673</t>
  </si>
  <si>
    <t>Arsheen</t>
  </si>
  <si>
    <t>B-25692</t>
  </si>
  <si>
    <t>Rashmi</t>
  </si>
  <si>
    <t>B-25992</t>
  </si>
  <si>
    <t>B-25765</t>
  </si>
  <si>
    <t>Meghana</t>
  </si>
  <si>
    <t>B-25892</t>
  </si>
  <si>
    <t>B-26089</t>
  </si>
  <si>
    <t>B-25780</t>
  </si>
  <si>
    <t>Teena</t>
  </si>
  <si>
    <t>B-25684</t>
  </si>
  <si>
    <t>Samiksha</t>
  </si>
  <si>
    <t>B-25739</t>
  </si>
  <si>
    <t>Daksh</t>
  </si>
  <si>
    <t>B-25731</t>
  </si>
  <si>
    <t>Akash</t>
  </si>
  <si>
    <t>B-25648</t>
  </si>
  <si>
    <t>B-26038</t>
  </si>
  <si>
    <t>B-25700</t>
  </si>
  <si>
    <t>Shubhi</t>
  </si>
  <si>
    <t>B-26015</t>
  </si>
  <si>
    <t>B-25704</t>
  </si>
  <si>
    <t>Riya</t>
  </si>
  <si>
    <t>B-25811</t>
  </si>
  <si>
    <t>Utsav</t>
  </si>
  <si>
    <t>B-25821</t>
  </si>
  <si>
    <t>B-25874</t>
  </si>
  <si>
    <t>B-25668</t>
  </si>
  <si>
    <t>B-25800</t>
  </si>
  <si>
    <t>Ishit</t>
  </si>
  <si>
    <t>B-25928</t>
  </si>
  <si>
    <t>Smriti</t>
  </si>
  <si>
    <t>B-26021</t>
  </si>
  <si>
    <t>B-26064</t>
  </si>
  <si>
    <t>Ankita</t>
  </si>
  <si>
    <t>B-25882</t>
  </si>
  <si>
    <t>Masurkar</t>
  </si>
  <si>
    <t>B-25891</t>
  </si>
  <si>
    <t>Shivani</t>
  </si>
  <si>
    <t>B-25820</t>
  </si>
  <si>
    <t>Dheeraj</t>
  </si>
  <si>
    <t>B-25889</t>
  </si>
  <si>
    <t>B-25871</t>
  </si>
  <si>
    <t>Gunjal</t>
  </si>
  <si>
    <t>B-25637</t>
  </si>
  <si>
    <t>Ashmi</t>
  </si>
  <si>
    <t>B-25616</t>
  </si>
  <si>
    <t>B-25972</t>
  </si>
  <si>
    <t>Jesslyn</t>
  </si>
  <si>
    <t>B-25805</t>
  </si>
  <si>
    <t>B-25860</t>
  </si>
  <si>
    <t>B-26080</t>
  </si>
  <si>
    <t>Sonakshi</t>
  </si>
  <si>
    <t>B-25807</t>
  </si>
  <si>
    <t>Vipul</t>
  </si>
  <si>
    <t>B-25734</t>
  </si>
  <si>
    <t>B-25880</t>
  </si>
  <si>
    <t>Apoorv</t>
  </si>
  <si>
    <t>B-25934</t>
  </si>
  <si>
    <t>Rahul</t>
  </si>
  <si>
    <t>B-25913</t>
  </si>
  <si>
    <t>Geetanjali</t>
  </si>
  <si>
    <t>B-25912</t>
  </si>
  <si>
    <t>Preksha</t>
  </si>
  <si>
    <t>B-25824</t>
  </si>
  <si>
    <t>Shyam</t>
  </si>
  <si>
    <t>B-25711</t>
  </si>
  <si>
    <t>B-25864</t>
  </si>
  <si>
    <t>Aromal</t>
  </si>
  <si>
    <t>B-25917</t>
  </si>
  <si>
    <t>B-26049</t>
  </si>
  <si>
    <t>B-25920</t>
  </si>
  <si>
    <t>Jayanti</t>
  </si>
  <si>
    <t>B-25699</t>
  </si>
  <si>
    <t>Kritika</t>
  </si>
  <si>
    <t>B-25735</t>
  </si>
  <si>
    <t>Arindam</t>
  </si>
  <si>
    <t>B-25701</t>
  </si>
  <si>
    <t>Maithilee</t>
  </si>
  <si>
    <t>B-26092</t>
  </si>
  <si>
    <t>B-26082</t>
  </si>
  <si>
    <t>B-25818</t>
  </si>
  <si>
    <t>Sandeep</t>
  </si>
  <si>
    <t>B-25846</t>
  </si>
  <si>
    <t>Soodesh</t>
  </si>
  <si>
    <t>B-26011</t>
  </si>
  <si>
    <t>B-25631</t>
  </si>
  <si>
    <t>B-25606</t>
  </si>
  <si>
    <t>B-25746</t>
  </si>
  <si>
    <t>B-26005</t>
  </si>
  <si>
    <t>Parnavi</t>
  </si>
  <si>
    <t>B-25844</t>
  </si>
  <si>
    <t>Swati</t>
  </si>
  <si>
    <t>B-25869</t>
  </si>
  <si>
    <t>Parakh</t>
  </si>
  <si>
    <t>B-26066</t>
  </si>
  <si>
    <t>B-25865</t>
  </si>
  <si>
    <t>Arun</t>
  </si>
  <si>
    <t>B-26039</t>
  </si>
  <si>
    <t>B-25916</t>
  </si>
  <si>
    <t>Utkarsh</t>
  </si>
  <si>
    <t>B-26090</t>
  </si>
  <si>
    <t>B-25988</t>
  </si>
  <si>
    <t>Nirja</t>
  </si>
  <si>
    <t>B-25906</t>
  </si>
  <si>
    <t>Abhijit</t>
  </si>
  <si>
    <t>B-26017</t>
  </si>
  <si>
    <t>B-25644</t>
  </si>
  <si>
    <t>B-25679</t>
  </si>
  <si>
    <t>Avni</t>
  </si>
  <si>
    <t>B-25723</t>
  </si>
  <si>
    <t>Wale</t>
  </si>
  <si>
    <t>B-25605</t>
  </si>
  <si>
    <t>B-25792</t>
  </si>
  <si>
    <t>B-25680</t>
  </si>
  <si>
    <t>B-25931</t>
  </si>
  <si>
    <t>Sidharth</t>
  </si>
  <si>
    <t>B-25932</t>
  </si>
  <si>
    <t>Bhutekar</t>
  </si>
  <si>
    <t>B-25990</t>
  </si>
  <si>
    <t>Mugdha</t>
  </si>
  <si>
    <t>B-25615</t>
  </si>
  <si>
    <t>B-26031</t>
  </si>
  <si>
    <t>B-25801</t>
  </si>
  <si>
    <t>Aryan</t>
  </si>
  <si>
    <t>B-25833</t>
  </si>
  <si>
    <t>Krishna</t>
  </si>
  <si>
    <t>B-26077</t>
  </si>
  <si>
    <t>B-25936</t>
  </si>
  <si>
    <t>Nikhil</t>
  </si>
  <si>
    <t>B-25938</t>
  </si>
  <si>
    <t>B-25716</t>
  </si>
  <si>
    <t>B-25740</t>
  </si>
  <si>
    <t>Rane</t>
  </si>
  <si>
    <t>B-25763</t>
  </si>
  <si>
    <t>Noshiba</t>
  </si>
  <si>
    <t>B-25872</t>
  </si>
  <si>
    <t>B-25879</t>
  </si>
  <si>
    <t>B-25926</t>
  </si>
  <si>
    <t>Dipali</t>
  </si>
  <si>
    <t>B-26074</t>
  </si>
  <si>
    <t>B-25627</t>
  </si>
  <si>
    <t>B-25940</t>
  </si>
  <si>
    <t>Vivek</t>
  </si>
  <si>
    <t>B-26047</t>
  </si>
  <si>
    <t>B-26069</t>
  </si>
  <si>
    <t>B-26027</t>
  </si>
  <si>
    <t>B-25963</t>
  </si>
  <si>
    <t>Pratiksha</t>
  </si>
  <si>
    <t>B-25922</t>
  </si>
  <si>
    <t>Akshata</t>
  </si>
  <si>
    <t>B-25866</t>
  </si>
  <si>
    <t>B-25607</t>
  </si>
  <si>
    <t>B-25775</t>
  </si>
  <si>
    <t>Duhita</t>
  </si>
  <si>
    <t>B-25998</t>
  </si>
  <si>
    <t>Anmol</t>
  </si>
  <si>
    <t>B-26062</t>
  </si>
  <si>
    <t>B-25722</t>
  </si>
  <si>
    <t>Inderpreet</t>
  </si>
  <si>
    <t>B-25776</t>
  </si>
  <si>
    <t>Mousam</t>
  </si>
  <si>
    <t>B-26032</t>
  </si>
  <si>
    <t>B-25705</t>
  </si>
  <si>
    <t>B-25628</t>
  </si>
  <si>
    <t>B-25733</t>
  </si>
  <si>
    <t>Dhirajendu</t>
  </si>
  <si>
    <t>B-25647</t>
  </si>
  <si>
    <t>B-25790</t>
  </si>
  <si>
    <t>Sajal</t>
  </si>
  <si>
    <t>B-25709</t>
  </si>
  <si>
    <t>Aakanksha</t>
  </si>
  <si>
    <t>B-25911</t>
  </si>
  <si>
    <t>Phalguni</t>
  </si>
  <si>
    <t>B-25774</t>
  </si>
  <si>
    <t>Snehal</t>
  </si>
  <si>
    <t>B-26042</t>
  </si>
  <si>
    <t>Manish</t>
  </si>
  <si>
    <t>B-25815</t>
  </si>
  <si>
    <t>B-25822</t>
  </si>
  <si>
    <t>Tejas</t>
  </si>
  <si>
    <t>B-26075</t>
  </si>
  <si>
    <t>Pearl</t>
  </si>
  <si>
    <t>B-25783</t>
  </si>
  <si>
    <t>B-26046</t>
  </si>
  <si>
    <t>B-25690</t>
  </si>
  <si>
    <t>Gunjan</t>
  </si>
  <si>
    <t>B-25706</t>
  </si>
  <si>
    <t>Swetlana</t>
  </si>
  <si>
    <t>B-25736</t>
  </si>
  <si>
    <t>Akshat</t>
  </si>
  <si>
    <t>B-25720</t>
  </si>
  <si>
    <t>Namrata</t>
  </si>
  <si>
    <t>B-25907</t>
  </si>
  <si>
    <t>Jaydeep</t>
  </si>
  <si>
    <t>B-25719</t>
  </si>
  <si>
    <t>B-26013</t>
  </si>
  <si>
    <t>B-26044</t>
  </si>
  <si>
    <t>B-25649</t>
  </si>
  <si>
    <t>Rachna</t>
  </si>
  <si>
    <t>B-25658</t>
  </si>
  <si>
    <t>B-25672</t>
  </si>
  <si>
    <t>Akanksha</t>
  </si>
  <si>
    <t>B-25624</t>
  </si>
  <si>
    <t>B-25884</t>
  </si>
  <si>
    <t>Sumeet</t>
  </si>
  <si>
    <t>B-25641</t>
  </si>
  <si>
    <t>B-25841</t>
  </si>
  <si>
    <t>Ashvini</t>
  </si>
  <si>
    <t>B-25980</t>
  </si>
  <si>
    <t>B-26012</t>
  </si>
  <si>
    <t>B-26029</t>
  </si>
  <si>
    <t>B-26071</t>
  </si>
  <si>
    <t>B-25646</t>
  </si>
  <si>
    <t>B-25677</t>
  </si>
  <si>
    <t>B-25759</t>
  </si>
  <si>
    <t>B-26059</t>
  </si>
  <si>
    <t>B-25632</t>
  </si>
  <si>
    <t>B-26079</t>
  </si>
  <si>
    <t>B-25674</t>
  </si>
  <si>
    <t>B-25965</t>
  </si>
  <si>
    <t>Saloni</t>
  </si>
  <si>
    <t>B-25732</t>
  </si>
  <si>
    <t>Anubhaw</t>
  </si>
  <si>
    <t>B-25834</t>
  </si>
  <si>
    <t>Ananya</t>
  </si>
  <si>
    <t>B-25784</t>
  </si>
  <si>
    <t>Rohit</t>
  </si>
  <si>
    <t>B-25982</t>
  </si>
  <si>
    <t>Hemangi</t>
  </si>
  <si>
    <t>B-25788</t>
  </si>
  <si>
    <t>Dinesh</t>
  </si>
  <si>
    <t>B-25742</t>
  </si>
  <si>
    <t>Ashwin</t>
  </si>
  <si>
    <t>B-26088</t>
  </si>
  <si>
    <t>B-25707</t>
  </si>
  <si>
    <t>B-25758</t>
  </si>
  <si>
    <t>B-26095</t>
  </si>
  <si>
    <t>top 3 maximum order city</t>
  </si>
  <si>
    <t>city wise ordes</t>
  </si>
  <si>
    <t>Row Labels</t>
  </si>
  <si>
    <t>Count of Order ID</t>
  </si>
  <si>
    <t>Grand Total</t>
  </si>
  <si>
    <t>top 3 state orders</t>
  </si>
  <si>
    <t>state wise order</t>
  </si>
  <si>
    <t>top 3 max order month</t>
  </si>
  <si>
    <t>monthly order</t>
  </si>
  <si>
    <t>Jan</t>
  </si>
  <si>
    <t>Feb</t>
  </si>
  <si>
    <t>Mar</t>
  </si>
  <si>
    <t>Apr</t>
  </si>
  <si>
    <t>May</t>
  </si>
  <si>
    <t>Jun</t>
  </si>
  <si>
    <t>Jul</t>
  </si>
  <si>
    <t>Aug</t>
  </si>
  <si>
    <t>Sep</t>
  </si>
  <si>
    <t>Oct</t>
  </si>
  <si>
    <t>Nov</t>
  </si>
  <si>
    <t>Dec</t>
  </si>
  <si>
    <t>Count of CustomerName</t>
  </si>
  <si>
    <t>Count of State</t>
  </si>
  <si>
    <t>top 3 customer order freqently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</si>
</sst>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0">
    <border>
      <left/>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17">
    <xf numFmtId="0" fontId="0" fillId="0" borderId="0" xfId="0"/>
    <xf numFmtId="0" fontId="0" fillId="0" borderId="1" xfId="0" applyBorder="1"/>
    <xf numFmtId="0" fontId="0" fillId="0" borderId="2" xfId="0" applyBorder="1"/>
    <xf numFmtId="0" fontId="0" fillId="0" borderId="3" xfId="0" applyBorder="1"/>
    <xf numFmtId="0" fontId="0" fillId="0" borderId="4" xfId="0" applyBorder="1" applyAlignment="1">
      <alignment horizontal="center"/>
    </xf>
    <xf numFmtId="14" fontId="0" fillId="0" borderId="5" xfId="0" applyNumberFormat="1" applyBorder="1" applyAlignment="1">
      <alignment horizontal="center"/>
    </xf>
    <xf numFmtId="0" fontId="0" fillId="0" borderId="5" xfId="0" applyBorder="1" applyAlignment="1">
      <alignment horizontal="center"/>
    </xf>
    <xf numFmtId="0" fontId="0" fillId="0" borderId="6" xfId="0" applyBorder="1" applyAlignment="1">
      <alignment horizontal="center"/>
    </xf>
    <xf numFmtId="0" fontId="0" fillId="0" borderId="7" xfId="0" applyBorder="1" applyAlignment="1">
      <alignment horizontal="center"/>
    </xf>
    <xf numFmtId="14" fontId="0" fillId="0" borderId="8" xfId="0" applyNumberFormat="1" applyBorder="1" applyAlignment="1">
      <alignment horizontal="center"/>
    </xf>
    <xf numFmtId="0" fontId="0" fillId="0" borderId="8" xfId="0" applyBorder="1" applyAlignment="1">
      <alignment horizontal="center"/>
    </xf>
    <xf numFmtId="0" fontId="0" fillId="0" borderId="9" xfId="0" applyBorder="1" applyAlignment="1">
      <alignment horizontal="center"/>
    </xf>
    <xf numFmtId="0" fontId="0" fillId="0" borderId="0" xfId="0" applyAlignment="1">
      <alignment horizontal="left"/>
    </xf>
    <xf numFmtId="0" fontId="0" fillId="0" borderId="0" xfId="0" pivotButton="1"/>
    <xf numFmtId="0" fontId="0" fillId="0" borderId="0" xfId="0"/>
    <xf numFmtId="0" fontId="0" fillId="0" borderId="0" xfId="0" applyAlignment="1">
      <alignment horizontal="center"/>
    </xf>
    <xf numFmtId="0" fontId="0" fillId="0" borderId="0" xfId="0" applyNumberFormat="1"/>
  </cellXfs>
  <cellStyles count="1">
    <cellStyle name="Normal" xfId="0" builtinId="0"/>
  </cellStyles>
  <dxfs count="10">
    <dxf>
      <numFmt numFmtId="0" formatCode="General"/>
      <alignment horizontal="center" vertical="bottom" textRotation="0" wrapText="0" indent="0" justifyLastLine="0" shrinkToFit="0" readingOrder="0"/>
      <border diagonalUp="0" diagonalDown="0" outline="0">
        <left style="thin">
          <color indexed="64"/>
        </left>
        <right/>
        <top style="thin">
          <color indexed="64"/>
        </top>
        <bottom style="thin">
          <color indexed="64"/>
        </bottom>
      </border>
    </dxf>
    <dxf>
      <numFmt numFmtId="0" formatCode="Genera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4" formatCode="dd/mm/yyyy"/>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center"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dxf>
    <dxf>
      <border>
        <bottom style="thin">
          <color indexed="64"/>
        </bottom>
      </border>
    </dxf>
    <dxf>
      <border diagonalUp="0" diagonalDown="0">
        <left style="thin">
          <color indexed="64"/>
        </left>
        <right style="thin">
          <color indexed="64"/>
        </right>
        <top/>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microsoft.com/office/2007/relationships/slicerCache" Target="slicerCaches/slicerCache4.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microsoft.com/office/2007/relationships/slicerCache" Target="slicerCaches/slicerCache3.xml"/><Relationship Id="rId17" Type="http://schemas.microsoft.com/office/2011/relationships/timelineCache" Target="timelineCaches/timelineCache2.xml"/><Relationship Id="rId2" Type="http://schemas.openxmlformats.org/officeDocument/2006/relationships/worksheet" Target="worksheets/sheet2.xml"/><Relationship Id="rId16" Type="http://schemas.microsoft.com/office/2011/relationships/timelineCache" Target="timelineCaches/timelineCache1.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microsoft.com/office/2007/relationships/slicerCache" Target="slicerCaches/slicerCache6.xml"/><Relationship Id="rId23" Type="http://schemas.openxmlformats.org/officeDocument/2006/relationships/customXml" Target="../customXml/item1.xml"/><Relationship Id="rId10" Type="http://schemas.microsoft.com/office/2007/relationships/slicerCache" Target="slicerCaches/slicerCache1.xml"/><Relationship Id="rId19"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07/relationships/slicerCache" Target="slicerCaches/slicerCache5.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8.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9.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0.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1.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2.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3.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3.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Ex5.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v>Total</c:v>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DD3E-4BDD-B540-EEDBC7D5E70E}"/>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DD3E-4BDD-B540-EEDBC7D5E70E}"/>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DD3E-4BDD-B540-EEDBC7D5E70E}"/>
              </c:ext>
            </c:extLst>
          </c:dPt>
          <c:cat>
            <c:strLit>
              <c:ptCount val="3"/>
              <c:pt idx="0">
                <c:v>Jan</c:v>
              </c:pt>
              <c:pt idx="1">
                <c:v>Feb</c:v>
              </c:pt>
              <c:pt idx="2">
                <c:v>Mar</c:v>
              </c:pt>
            </c:strLit>
          </c:cat>
          <c:val>
            <c:numLit>
              <c:formatCode>General</c:formatCode>
              <c:ptCount val="3"/>
              <c:pt idx="0">
                <c:v>61</c:v>
              </c:pt>
              <c:pt idx="1">
                <c:v>54</c:v>
              </c:pt>
              <c:pt idx="2">
                <c:v>58</c:v>
              </c:pt>
            </c:numLit>
          </c:val>
          <c:extLst>
            <c:ext xmlns:c16="http://schemas.microsoft.com/office/drawing/2014/chart" uri="{C3380CC4-5D6E-409C-BE32-E72D297353CC}">
              <c16:uniqueId val="{00000006-DD3E-4BDD-B540-EEDBC7D5E70E}"/>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 TABLE!PivotTable19</c:name>
    <c:fmtId val="1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TABLE'!$B$38</c:f>
              <c:strCache>
                <c:ptCount val="1"/>
                <c:pt idx="0">
                  <c:v>Total</c:v>
                </c:pt>
              </c:strCache>
            </c:strRef>
          </c:tx>
          <c:spPr>
            <a:solidFill>
              <a:schemeClr val="accent1"/>
            </a:solidFill>
            <a:ln>
              <a:noFill/>
            </a:ln>
            <a:effectLst/>
          </c:spPr>
          <c:invertIfNegative val="0"/>
          <c:cat>
            <c:strRef>
              <c:f>'PIVOT TABLE'!$A$39:$A$58</c:f>
              <c:strCache>
                <c:ptCount val="19"/>
                <c:pt idx="0">
                  <c:v>Andhra Pradesh</c:v>
                </c:pt>
                <c:pt idx="1">
                  <c:v>Bihar</c:v>
                </c:pt>
                <c:pt idx="2">
                  <c:v>Delhi</c:v>
                </c:pt>
                <c:pt idx="3">
                  <c:v>Goa</c:v>
                </c:pt>
                <c:pt idx="4">
                  <c:v>Gujarat</c:v>
                </c:pt>
                <c:pt idx="5">
                  <c:v>Haryana</c:v>
                </c:pt>
                <c:pt idx="6">
                  <c:v>Himachal Pradesh</c:v>
                </c:pt>
                <c:pt idx="7">
                  <c:v>Jammu and Kashmir</c:v>
                </c:pt>
                <c:pt idx="8">
                  <c:v>Karnataka</c:v>
                </c:pt>
                <c:pt idx="9">
                  <c:v>Kerala </c:v>
                </c:pt>
                <c:pt idx="10">
                  <c:v>Madhya Pradesh</c:v>
                </c:pt>
                <c:pt idx="11">
                  <c:v>Maharashtra</c:v>
                </c:pt>
                <c:pt idx="12">
                  <c:v>Nagaland</c:v>
                </c:pt>
                <c:pt idx="13">
                  <c:v>Punjab</c:v>
                </c:pt>
                <c:pt idx="14">
                  <c:v>Rajasthan</c:v>
                </c:pt>
                <c:pt idx="15">
                  <c:v>Sikkim</c:v>
                </c:pt>
                <c:pt idx="16">
                  <c:v>Tamil Nadu</c:v>
                </c:pt>
                <c:pt idx="17">
                  <c:v>Uttar Pradesh</c:v>
                </c:pt>
                <c:pt idx="18">
                  <c:v>West Bengal</c:v>
                </c:pt>
              </c:strCache>
            </c:strRef>
          </c:cat>
          <c:val>
            <c:numRef>
              <c:f>'PIVOT TABLE'!$B$39:$B$58</c:f>
              <c:numCache>
                <c:formatCode>General</c:formatCode>
                <c:ptCount val="19"/>
                <c:pt idx="0">
                  <c:v>15</c:v>
                </c:pt>
                <c:pt idx="1">
                  <c:v>16</c:v>
                </c:pt>
                <c:pt idx="2">
                  <c:v>24</c:v>
                </c:pt>
                <c:pt idx="3">
                  <c:v>14</c:v>
                </c:pt>
                <c:pt idx="4">
                  <c:v>27</c:v>
                </c:pt>
                <c:pt idx="5">
                  <c:v>14</c:v>
                </c:pt>
                <c:pt idx="6">
                  <c:v>14</c:v>
                </c:pt>
                <c:pt idx="7">
                  <c:v>14</c:v>
                </c:pt>
                <c:pt idx="8">
                  <c:v>20</c:v>
                </c:pt>
                <c:pt idx="9">
                  <c:v>16</c:v>
                </c:pt>
                <c:pt idx="10">
                  <c:v>93</c:v>
                </c:pt>
                <c:pt idx="11">
                  <c:v>94</c:v>
                </c:pt>
                <c:pt idx="12">
                  <c:v>15</c:v>
                </c:pt>
                <c:pt idx="13">
                  <c:v>25</c:v>
                </c:pt>
                <c:pt idx="14">
                  <c:v>32</c:v>
                </c:pt>
                <c:pt idx="15">
                  <c:v>12</c:v>
                </c:pt>
                <c:pt idx="16">
                  <c:v>8</c:v>
                </c:pt>
                <c:pt idx="17">
                  <c:v>25</c:v>
                </c:pt>
                <c:pt idx="18">
                  <c:v>22</c:v>
                </c:pt>
              </c:numCache>
            </c:numRef>
          </c:val>
          <c:extLst>
            <c:ext xmlns:c16="http://schemas.microsoft.com/office/drawing/2014/chart" uri="{C3380CC4-5D6E-409C-BE32-E72D297353CC}">
              <c16:uniqueId val="{00000000-E284-4476-89AE-54B28A71C3FA}"/>
            </c:ext>
          </c:extLst>
        </c:ser>
        <c:dLbls>
          <c:showLegendKey val="0"/>
          <c:showVal val="0"/>
          <c:showCatName val="0"/>
          <c:showSerName val="0"/>
          <c:showPercent val="0"/>
          <c:showBubbleSize val="0"/>
        </c:dLbls>
        <c:gapWidth val="182"/>
        <c:axId val="1715362800"/>
        <c:axId val="292432208"/>
      </c:barChart>
      <c:catAx>
        <c:axId val="17153628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2432208"/>
        <c:crosses val="autoZero"/>
        <c:auto val="1"/>
        <c:lblAlgn val="ctr"/>
        <c:lblOffset val="100"/>
        <c:noMultiLvlLbl val="0"/>
      </c:catAx>
      <c:valAx>
        <c:axId val="29243220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53628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 TABLE!PivotTable21</c:name>
    <c:fmtId val="2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 TABLE'!$B$3</c:f>
              <c:strCache>
                <c:ptCount val="1"/>
                <c:pt idx="0">
                  <c:v>Total</c:v>
                </c:pt>
              </c:strCache>
            </c:strRef>
          </c:tx>
          <c:spPr>
            <a:solidFill>
              <a:schemeClr val="accent1"/>
            </a:solidFill>
            <a:ln>
              <a:noFill/>
            </a:ln>
            <a:effectLst/>
            <a:sp3d/>
          </c:spPr>
          <c:invertIfNegative val="0"/>
          <c:cat>
            <c:strRef>
              <c:f>'PIVOT TABLE'!$A$4:$A$29</c:f>
              <c:strCache>
                <c:ptCount val="25"/>
                <c:pt idx="0">
                  <c:v>Ahmedabad</c:v>
                </c:pt>
                <c:pt idx="1">
                  <c:v>Amritsar</c:v>
                </c:pt>
                <c:pt idx="2">
                  <c:v>Bangalore</c:v>
                </c:pt>
                <c:pt idx="3">
                  <c:v>Bhopal</c:v>
                </c:pt>
                <c:pt idx="4">
                  <c:v>Chandigarh</c:v>
                </c:pt>
                <c:pt idx="5">
                  <c:v>Chennai</c:v>
                </c:pt>
                <c:pt idx="6">
                  <c:v>Delhi</c:v>
                </c:pt>
                <c:pt idx="7">
                  <c:v>Gangtok</c:v>
                </c:pt>
                <c:pt idx="8">
                  <c:v>Goa</c:v>
                </c:pt>
                <c:pt idx="9">
                  <c:v>Hyderabad</c:v>
                </c:pt>
                <c:pt idx="10">
                  <c:v>Indore</c:v>
                </c:pt>
                <c:pt idx="11">
                  <c:v>Jaipur</c:v>
                </c:pt>
                <c:pt idx="12">
                  <c:v>Kashmir</c:v>
                </c:pt>
                <c:pt idx="13">
                  <c:v>Kohima</c:v>
                </c:pt>
                <c:pt idx="14">
                  <c:v>Kolkata</c:v>
                </c:pt>
                <c:pt idx="15">
                  <c:v>Lucknow</c:v>
                </c:pt>
                <c:pt idx="16">
                  <c:v>Mathura</c:v>
                </c:pt>
                <c:pt idx="17">
                  <c:v>Mumbai</c:v>
                </c:pt>
                <c:pt idx="18">
                  <c:v>Patna</c:v>
                </c:pt>
                <c:pt idx="19">
                  <c:v>Prayagraj</c:v>
                </c:pt>
                <c:pt idx="20">
                  <c:v>Pune</c:v>
                </c:pt>
                <c:pt idx="21">
                  <c:v>Simla</c:v>
                </c:pt>
                <c:pt idx="22">
                  <c:v>Surat</c:v>
                </c:pt>
                <c:pt idx="23">
                  <c:v>Thiruvananthapuram</c:v>
                </c:pt>
                <c:pt idx="24">
                  <c:v>Udaipur</c:v>
                </c:pt>
              </c:strCache>
            </c:strRef>
          </c:cat>
          <c:val>
            <c:numRef>
              <c:f>'PIVOT TABLE'!$B$4:$B$29</c:f>
              <c:numCache>
                <c:formatCode>General</c:formatCode>
                <c:ptCount val="25"/>
                <c:pt idx="0">
                  <c:v>17</c:v>
                </c:pt>
                <c:pt idx="1">
                  <c:v>9</c:v>
                </c:pt>
                <c:pt idx="2">
                  <c:v>20</c:v>
                </c:pt>
                <c:pt idx="3">
                  <c:v>22</c:v>
                </c:pt>
                <c:pt idx="4">
                  <c:v>30</c:v>
                </c:pt>
                <c:pt idx="5">
                  <c:v>8</c:v>
                </c:pt>
                <c:pt idx="6">
                  <c:v>24</c:v>
                </c:pt>
                <c:pt idx="7">
                  <c:v>12</c:v>
                </c:pt>
                <c:pt idx="8">
                  <c:v>14</c:v>
                </c:pt>
                <c:pt idx="9">
                  <c:v>15</c:v>
                </c:pt>
                <c:pt idx="10">
                  <c:v>71</c:v>
                </c:pt>
                <c:pt idx="11">
                  <c:v>19</c:v>
                </c:pt>
                <c:pt idx="12">
                  <c:v>14</c:v>
                </c:pt>
                <c:pt idx="13">
                  <c:v>15</c:v>
                </c:pt>
                <c:pt idx="14">
                  <c:v>22</c:v>
                </c:pt>
                <c:pt idx="15">
                  <c:v>13</c:v>
                </c:pt>
                <c:pt idx="16">
                  <c:v>6</c:v>
                </c:pt>
                <c:pt idx="17">
                  <c:v>67</c:v>
                </c:pt>
                <c:pt idx="18">
                  <c:v>16</c:v>
                </c:pt>
                <c:pt idx="19">
                  <c:v>6</c:v>
                </c:pt>
                <c:pt idx="20">
                  <c:v>27</c:v>
                </c:pt>
                <c:pt idx="21">
                  <c:v>14</c:v>
                </c:pt>
                <c:pt idx="22">
                  <c:v>10</c:v>
                </c:pt>
                <c:pt idx="23">
                  <c:v>16</c:v>
                </c:pt>
                <c:pt idx="24">
                  <c:v>13</c:v>
                </c:pt>
              </c:numCache>
            </c:numRef>
          </c:val>
          <c:extLst>
            <c:ext xmlns:c16="http://schemas.microsoft.com/office/drawing/2014/chart" uri="{C3380CC4-5D6E-409C-BE32-E72D297353CC}">
              <c16:uniqueId val="{00000000-BF7C-4E7C-98A6-913E4BB54AC8}"/>
            </c:ext>
          </c:extLst>
        </c:ser>
        <c:dLbls>
          <c:showLegendKey val="0"/>
          <c:showVal val="0"/>
          <c:showCatName val="0"/>
          <c:showSerName val="0"/>
          <c:showPercent val="0"/>
          <c:showBubbleSize val="0"/>
        </c:dLbls>
        <c:gapWidth val="150"/>
        <c:shape val="box"/>
        <c:axId val="81913792"/>
        <c:axId val="292403888"/>
        <c:axId val="0"/>
      </c:bar3DChart>
      <c:catAx>
        <c:axId val="8191379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2403888"/>
        <c:crosses val="autoZero"/>
        <c:auto val="1"/>
        <c:lblAlgn val="ctr"/>
        <c:lblOffset val="100"/>
        <c:noMultiLvlLbl val="0"/>
      </c:catAx>
      <c:valAx>
        <c:axId val="2924038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9137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 TABLE!PivotTable17</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TABLE'!$B$68</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TABLE'!$A$69:$A$81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TABLE'!$B$69:$B$81</c:f>
              <c:numCache>
                <c:formatCode>General</c:formatCode>
                <c:ptCount val="12"/>
                <c:pt idx="0">
                  <c:v>61</c:v>
                </c:pt>
                <c:pt idx="1">
                  <c:v>54</c:v>
                </c:pt>
                <c:pt idx="2">
                  <c:v>58</c:v>
                </c:pt>
                <c:pt idx="3">
                  <c:v>44</c:v>
                </c:pt>
                <c:pt idx="4">
                  <c:v>31</c:v>
                </c:pt>
                <c:pt idx="5">
                  <c:v>30</c:v>
                </c:pt>
                <c:pt idx="6">
                  <c:v>31</c:v>
                </c:pt>
                <c:pt idx="7">
                  <c:v>31</c:v>
                </c:pt>
                <c:pt idx="8">
                  <c:v>30</c:v>
                </c:pt>
                <c:pt idx="9">
                  <c:v>43</c:v>
                </c:pt>
                <c:pt idx="10">
                  <c:v>46</c:v>
                </c:pt>
                <c:pt idx="11">
                  <c:v>41</c:v>
                </c:pt>
              </c:numCache>
            </c:numRef>
          </c:val>
          <c:smooth val="0"/>
          <c:extLst>
            <c:ext xmlns:c16="http://schemas.microsoft.com/office/drawing/2014/chart" uri="{C3380CC4-5D6E-409C-BE32-E72D297353CC}">
              <c16:uniqueId val="{00000000-DC18-4DED-BC42-128897038993}"/>
            </c:ext>
          </c:extLst>
        </c:ser>
        <c:dLbls>
          <c:showLegendKey val="0"/>
          <c:showVal val="0"/>
          <c:showCatName val="0"/>
          <c:showSerName val="0"/>
          <c:showPercent val="0"/>
          <c:showBubbleSize val="0"/>
        </c:dLbls>
        <c:marker val="1"/>
        <c:smooth val="0"/>
        <c:axId val="1715333568"/>
        <c:axId val="292356368"/>
      </c:lineChart>
      <c:catAx>
        <c:axId val="1715333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2356368"/>
        <c:crosses val="autoZero"/>
        <c:auto val="1"/>
        <c:lblAlgn val="ctr"/>
        <c:lblOffset val="100"/>
        <c:noMultiLvlLbl val="0"/>
      </c:catAx>
      <c:valAx>
        <c:axId val="2923563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53335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 TABLE!PivotTable14</c:name>
    <c:fmtId val="2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'PIVOT TABLE'!$N$87</c:f>
              <c:strCache>
                <c:ptCount val="1"/>
                <c:pt idx="0">
                  <c:v>Total</c:v>
                </c:pt>
              </c:strCache>
            </c:strRef>
          </c:tx>
          <c:spPr>
            <a:solidFill>
              <a:schemeClr val="accent1"/>
            </a:solidFill>
            <a:ln>
              <a:noFill/>
            </a:ln>
            <a:effectLst/>
            <a:sp3d/>
          </c:spPr>
          <c:invertIfNegative val="0"/>
          <c:cat>
            <c:strRef>
              <c:f>'PIVOT TABLE'!$M$88:$M$424</c:f>
              <c:strCache>
                <c:ptCount val="336"/>
                <c:pt idx="0">
                  <c:v>Aakanksha</c:v>
                </c:pt>
                <c:pt idx="1">
                  <c:v>Aarushi</c:v>
                </c:pt>
                <c:pt idx="2">
                  <c:v>Aastha</c:v>
                </c:pt>
                <c:pt idx="3">
                  <c:v>Aayush</c:v>
                </c:pt>
                <c:pt idx="4">
                  <c:v>Aayushi</c:v>
                </c:pt>
                <c:pt idx="5">
                  <c:v>Abhijeet</c:v>
                </c:pt>
                <c:pt idx="6">
                  <c:v>Abhijit</c:v>
                </c:pt>
                <c:pt idx="7">
                  <c:v>Abhishek</c:v>
                </c:pt>
                <c:pt idx="8">
                  <c:v>Adhvaita</c:v>
                </c:pt>
                <c:pt idx="9">
                  <c:v>Aditi</c:v>
                </c:pt>
                <c:pt idx="10">
                  <c:v>Aditya</c:v>
                </c:pt>
                <c:pt idx="11">
                  <c:v>Aishwarya</c:v>
                </c:pt>
                <c:pt idx="12">
                  <c:v>Ajay</c:v>
                </c:pt>
                <c:pt idx="13">
                  <c:v>Akancha</c:v>
                </c:pt>
                <c:pt idx="14">
                  <c:v>Akanksha</c:v>
                </c:pt>
                <c:pt idx="15">
                  <c:v>Akash</c:v>
                </c:pt>
                <c:pt idx="16">
                  <c:v>Akshat</c:v>
                </c:pt>
                <c:pt idx="17">
                  <c:v>Akshata</c:v>
                </c:pt>
                <c:pt idx="18">
                  <c:v>Akshay</c:v>
                </c:pt>
                <c:pt idx="19">
                  <c:v>Aman</c:v>
                </c:pt>
                <c:pt idx="20">
                  <c:v>Ameesha</c:v>
                </c:pt>
                <c:pt idx="21">
                  <c:v>Amisha</c:v>
                </c:pt>
                <c:pt idx="22">
                  <c:v>Amit</c:v>
                </c:pt>
                <c:pt idx="23">
                  <c:v>Amlan</c:v>
                </c:pt>
                <c:pt idx="24">
                  <c:v>Amol</c:v>
                </c:pt>
                <c:pt idx="25">
                  <c:v>Amruta</c:v>
                </c:pt>
                <c:pt idx="26">
                  <c:v>Anand</c:v>
                </c:pt>
                <c:pt idx="27">
                  <c:v>Ananya</c:v>
                </c:pt>
                <c:pt idx="28">
                  <c:v>Anchal</c:v>
                </c:pt>
                <c:pt idx="29">
                  <c:v>Aniket</c:v>
                </c:pt>
                <c:pt idx="30">
                  <c:v>Anisha</c:v>
                </c:pt>
                <c:pt idx="31">
                  <c:v>Anita</c:v>
                </c:pt>
                <c:pt idx="32">
                  <c:v>Anjali</c:v>
                </c:pt>
                <c:pt idx="33">
                  <c:v>Ankit</c:v>
                </c:pt>
                <c:pt idx="34">
                  <c:v>Ankita</c:v>
                </c:pt>
                <c:pt idx="35">
                  <c:v>Ankur</c:v>
                </c:pt>
                <c:pt idx="36">
                  <c:v>Anmol</c:v>
                </c:pt>
                <c:pt idx="37">
                  <c:v>Anubhaw</c:v>
                </c:pt>
                <c:pt idx="38">
                  <c:v>Anudeep</c:v>
                </c:pt>
                <c:pt idx="39">
                  <c:v>Anurag</c:v>
                </c:pt>
                <c:pt idx="40">
                  <c:v>Aparajita</c:v>
                </c:pt>
                <c:pt idx="41">
                  <c:v>Apoorv</c:v>
                </c:pt>
                <c:pt idx="42">
                  <c:v>Apoorva</c:v>
                </c:pt>
                <c:pt idx="43">
                  <c:v>Apsingekar</c:v>
                </c:pt>
                <c:pt idx="44">
                  <c:v>Arindam</c:v>
                </c:pt>
                <c:pt idx="45">
                  <c:v>Aromal</c:v>
                </c:pt>
                <c:pt idx="46">
                  <c:v>Arpita</c:v>
                </c:pt>
                <c:pt idx="47">
                  <c:v>Arsheen</c:v>
                </c:pt>
                <c:pt idx="48">
                  <c:v>Arti</c:v>
                </c:pt>
                <c:pt idx="49">
                  <c:v>Arun</c:v>
                </c:pt>
                <c:pt idx="50">
                  <c:v>Aryan</c:v>
                </c:pt>
                <c:pt idx="51">
                  <c:v>Ashmeet</c:v>
                </c:pt>
                <c:pt idx="52">
                  <c:v>Ashmi</c:v>
                </c:pt>
                <c:pt idx="53">
                  <c:v>Ashvini</c:v>
                </c:pt>
                <c:pt idx="54">
                  <c:v>Ashwin</c:v>
                </c:pt>
                <c:pt idx="55">
                  <c:v>Asish</c:v>
                </c:pt>
                <c:pt idx="56">
                  <c:v>Atharv</c:v>
                </c:pt>
                <c:pt idx="57">
                  <c:v>Atul</c:v>
                </c:pt>
                <c:pt idx="58">
                  <c:v>Avish</c:v>
                </c:pt>
                <c:pt idx="59">
                  <c:v>Avni</c:v>
                </c:pt>
                <c:pt idx="60">
                  <c:v>Ayush</c:v>
                </c:pt>
                <c:pt idx="61">
                  <c:v>Bathina</c:v>
                </c:pt>
                <c:pt idx="62">
                  <c:v>Bhaggyasree</c:v>
                </c:pt>
                <c:pt idx="63">
                  <c:v>Bharat</c:v>
                </c:pt>
                <c:pt idx="64">
                  <c:v>Bhargav</c:v>
                </c:pt>
                <c:pt idx="65">
                  <c:v>Bhavna</c:v>
                </c:pt>
                <c:pt idx="66">
                  <c:v>Bhawna</c:v>
                </c:pt>
                <c:pt idx="67">
                  <c:v>Bhishm</c:v>
                </c:pt>
                <c:pt idx="68">
                  <c:v>Bhosale</c:v>
                </c:pt>
                <c:pt idx="69">
                  <c:v>Bhutekar</c:v>
                </c:pt>
                <c:pt idx="70">
                  <c:v>Brijesh</c:v>
                </c:pt>
                <c:pt idx="71">
                  <c:v>Chandni</c:v>
                </c:pt>
                <c:pt idx="72">
                  <c:v>Charika</c:v>
                </c:pt>
                <c:pt idx="73">
                  <c:v>Chayanika</c:v>
                </c:pt>
                <c:pt idx="74">
                  <c:v>Chetan</c:v>
                </c:pt>
                <c:pt idx="75">
                  <c:v>Chikku</c:v>
                </c:pt>
                <c:pt idx="76">
                  <c:v>Chirag</c:v>
                </c:pt>
                <c:pt idx="77">
                  <c:v>Daksh</c:v>
                </c:pt>
                <c:pt idx="78">
                  <c:v>Dashyam</c:v>
                </c:pt>
                <c:pt idx="79">
                  <c:v>Deepak</c:v>
                </c:pt>
                <c:pt idx="80">
                  <c:v>Devendra</c:v>
                </c:pt>
                <c:pt idx="81">
                  <c:v>Dhanraj</c:v>
                </c:pt>
                <c:pt idx="82">
                  <c:v>Dheeraj</c:v>
                </c:pt>
                <c:pt idx="83">
                  <c:v>Dhirajendu</c:v>
                </c:pt>
                <c:pt idx="84">
                  <c:v>Dinesh</c:v>
                </c:pt>
                <c:pt idx="85">
                  <c:v>Dipali</c:v>
                </c:pt>
                <c:pt idx="86">
                  <c:v>Divsha</c:v>
                </c:pt>
                <c:pt idx="87">
                  <c:v>Divyansh</c:v>
                </c:pt>
                <c:pt idx="88">
                  <c:v>Divyansha</c:v>
                </c:pt>
                <c:pt idx="89">
                  <c:v>Divyeshkumar</c:v>
                </c:pt>
                <c:pt idx="90">
                  <c:v>Divyeta</c:v>
                </c:pt>
                <c:pt idx="91">
                  <c:v>Diwakar</c:v>
                </c:pt>
                <c:pt idx="92">
                  <c:v>Duhita</c:v>
                </c:pt>
                <c:pt idx="93">
                  <c:v>Ekta</c:v>
                </c:pt>
                <c:pt idx="94">
                  <c:v>Farah</c:v>
                </c:pt>
                <c:pt idx="95">
                  <c:v>Gaurav</c:v>
                </c:pt>
                <c:pt idx="96">
                  <c:v>Geetanjali</c:v>
                </c:pt>
                <c:pt idx="97">
                  <c:v>Ginny</c:v>
                </c:pt>
                <c:pt idx="98">
                  <c:v>Girase</c:v>
                </c:pt>
                <c:pt idx="99">
                  <c:v>Gopal</c:v>
                </c:pt>
                <c:pt idx="100">
                  <c:v>Gunjal</c:v>
                </c:pt>
                <c:pt idx="101">
                  <c:v>Gunjan</c:v>
                </c:pt>
                <c:pt idx="102">
                  <c:v>Harivansh</c:v>
                </c:pt>
                <c:pt idx="103">
                  <c:v>Harsh</c:v>
                </c:pt>
                <c:pt idx="104">
                  <c:v>Harshita</c:v>
                </c:pt>
                <c:pt idx="105">
                  <c:v>Hazel</c:v>
                </c:pt>
                <c:pt idx="106">
                  <c:v>Hemangi</c:v>
                </c:pt>
                <c:pt idx="107">
                  <c:v>Hemant</c:v>
                </c:pt>
                <c:pt idx="108">
                  <c:v>Hitesh</c:v>
                </c:pt>
                <c:pt idx="109">
                  <c:v>Hitika</c:v>
                </c:pt>
                <c:pt idx="110">
                  <c:v>Hrisheekesh</c:v>
                </c:pt>
                <c:pt idx="111">
                  <c:v>Inderpreet</c:v>
                </c:pt>
                <c:pt idx="112">
                  <c:v>Ishit</c:v>
                </c:pt>
                <c:pt idx="113">
                  <c:v>Ishpreet</c:v>
                </c:pt>
                <c:pt idx="114">
                  <c:v>Jahan</c:v>
                </c:pt>
                <c:pt idx="115">
                  <c:v>Jaideep</c:v>
                </c:pt>
                <c:pt idx="116">
                  <c:v>Jay</c:v>
                </c:pt>
                <c:pt idx="117">
                  <c:v>Jayanti</c:v>
                </c:pt>
                <c:pt idx="118">
                  <c:v>Jaydeep</c:v>
                </c:pt>
                <c:pt idx="119">
                  <c:v>Jesal</c:v>
                </c:pt>
                <c:pt idx="120">
                  <c:v>Jesslyn</c:v>
                </c:pt>
                <c:pt idx="121">
                  <c:v>Jitesh</c:v>
                </c:pt>
                <c:pt idx="122">
                  <c:v>K</c:v>
                </c:pt>
                <c:pt idx="123">
                  <c:v>Kajal</c:v>
                </c:pt>
                <c:pt idx="124">
                  <c:v>Kalyani</c:v>
                </c:pt>
                <c:pt idx="125">
                  <c:v>Kanak</c:v>
                </c:pt>
                <c:pt idx="126">
                  <c:v>Karandeep</c:v>
                </c:pt>
                <c:pt idx="127">
                  <c:v>Kartik</c:v>
                </c:pt>
                <c:pt idx="128">
                  <c:v>Kartikay</c:v>
                </c:pt>
                <c:pt idx="129">
                  <c:v>Kasheen</c:v>
                </c:pt>
                <c:pt idx="130">
                  <c:v>Kiran</c:v>
                </c:pt>
                <c:pt idx="131">
                  <c:v>Kirti</c:v>
                </c:pt>
                <c:pt idx="132">
                  <c:v>Kishwar</c:v>
                </c:pt>
                <c:pt idx="133">
                  <c:v>Komal</c:v>
                </c:pt>
                <c:pt idx="134">
                  <c:v>Krishna</c:v>
                </c:pt>
                <c:pt idx="135">
                  <c:v>Kritika</c:v>
                </c:pt>
                <c:pt idx="136">
                  <c:v>Krutika</c:v>
                </c:pt>
                <c:pt idx="137">
                  <c:v>Kshitij</c:v>
                </c:pt>
                <c:pt idx="138">
                  <c:v>Kushal</c:v>
                </c:pt>
                <c:pt idx="139">
                  <c:v>Lalita</c:v>
                </c:pt>
                <c:pt idx="140">
                  <c:v>Lisha</c:v>
                </c:pt>
                <c:pt idx="141">
                  <c:v>Madan Mohan</c:v>
                </c:pt>
                <c:pt idx="142">
                  <c:v>Madhav</c:v>
                </c:pt>
                <c:pt idx="143">
                  <c:v>Madhulika</c:v>
                </c:pt>
                <c:pt idx="144">
                  <c:v>Mahima</c:v>
                </c:pt>
                <c:pt idx="145">
                  <c:v>Maithilee</c:v>
                </c:pt>
                <c:pt idx="146">
                  <c:v>Mane</c:v>
                </c:pt>
                <c:pt idx="147">
                  <c:v>Manibalan</c:v>
                </c:pt>
                <c:pt idx="148">
                  <c:v>Manish</c:v>
                </c:pt>
                <c:pt idx="149">
                  <c:v>Manisha</c:v>
                </c:pt>
                <c:pt idx="150">
                  <c:v>Manjiri</c:v>
                </c:pt>
                <c:pt idx="151">
                  <c:v>Manju</c:v>
                </c:pt>
                <c:pt idx="152">
                  <c:v>Manshul</c:v>
                </c:pt>
                <c:pt idx="153">
                  <c:v>Mansi</c:v>
                </c:pt>
                <c:pt idx="154">
                  <c:v>Masurkar</c:v>
                </c:pt>
                <c:pt idx="155">
                  <c:v>Mayank</c:v>
                </c:pt>
                <c:pt idx="156">
                  <c:v>Megha</c:v>
                </c:pt>
                <c:pt idx="157">
                  <c:v>Meghana</c:v>
                </c:pt>
                <c:pt idx="158">
                  <c:v>Mhatre</c:v>
                </c:pt>
                <c:pt idx="159">
                  <c:v>Mitali</c:v>
                </c:pt>
                <c:pt idx="160">
                  <c:v>Mohan</c:v>
                </c:pt>
                <c:pt idx="161">
                  <c:v>Monica</c:v>
                </c:pt>
                <c:pt idx="162">
                  <c:v>Monisha</c:v>
                </c:pt>
                <c:pt idx="163">
                  <c:v>Monu</c:v>
                </c:pt>
                <c:pt idx="164">
                  <c:v>Moumita</c:v>
                </c:pt>
                <c:pt idx="165">
                  <c:v>Mousam</c:v>
                </c:pt>
                <c:pt idx="166">
                  <c:v>Mrinal</c:v>
                </c:pt>
                <c:pt idx="167">
                  <c:v>Mrunal</c:v>
                </c:pt>
                <c:pt idx="168">
                  <c:v>Mugdha</c:v>
                </c:pt>
                <c:pt idx="169">
                  <c:v>Mukesh</c:v>
                </c:pt>
                <c:pt idx="170">
                  <c:v>Mukund</c:v>
                </c:pt>
                <c:pt idx="171">
                  <c:v>Muskan</c:v>
                </c:pt>
                <c:pt idx="172">
                  <c:v>Namrata</c:v>
                </c:pt>
                <c:pt idx="173">
                  <c:v>Nandita</c:v>
                </c:pt>
                <c:pt idx="174">
                  <c:v>Navdeep</c:v>
                </c:pt>
                <c:pt idx="175">
                  <c:v>Neha</c:v>
                </c:pt>
                <c:pt idx="176">
                  <c:v>Nida</c:v>
                </c:pt>
                <c:pt idx="177">
                  <c:v>Nidhi</c:v>
                </c:pt>
                <c:pt idx="178">
                  <c:v>Nikhil</c:v>
                </c:pt>
                <c:pt idx="179">
                  <c:v>Nikita</c:v>
                </c:pt>
                <c:pt idx="180">
                  <c:v>Nirja</c:v>
                </c:pt>
                <c:pt idx="181">
                  <c:v>Nishant</c:v>
                </c:pt>
                <c:pt idx="182">
                  <c:v>Nishi</c:v>
                </c:pt>
                <c:pt idx="183">
                  <c:v>Nitant</c:v>
                </c:pt>
                <c:pt idx="184">
                  <c:v>Noopur</c:v>
                </c:pt>
                <c:pt idx="185">
                  <c:v>Noshiba</c:v>
                </c:pt>
                <c:pt idx="186">
                  <c:v>Nripraj</c:v>
                </c:pt>
                <c:pt idx="187">
                  <c:v>Omkar</c:v>
                </c:pt>
                <c:pt idx="188">
                  <c:v>Oshin</c:v>
                </c:pt>
                <c:pt idx="189">
                  <c:v>Palak</c:v>
                </c:pt>
                <c:pt idx="190">
                  <c:v>Parakh</c:v>
                </c:pt>
                <c:pt idx="191">
                  <c:v>Paridhi</c:v>
                </c:pt>
                <c:pt idx="192">
                  <c:v>Parin</c:v>
                </c:pt>
                <c:pt idx="193">
                  <c:v>Parishi</c:v>
                </c:pt>
                <c:pt idx="194">
                  <c:v>Parna</c:v>
                </c:pt>
                <c:pt idx="195">
                  <c:v>Parnavi</c:v>
                </c:pt>
                <c:pt idx="196">
                  <c:v>Paromita</c:v>
                </c:pt>
                <c:pt idx="197">
                  <c:v>Parth</c:v>
                </c:pt>
                <c:pt idx="198">
                  <c:v>Patil</c:v>
                </c:pt>
                <c:pt idx="199">
                  <c:v>Pearl</c:v>
                </c:pt>
                <c:pt idx="200">
                  <c:v>Phalguni</c:v>
                </c:pt>
                <c:pt idx="201">
                  <c:v>Pinky</c:v>
                </c:pt>
                <c:pt idx="202">
                  <c:v>Piyali</c:v>
                </c:pt>
                <c:pt idx="203">
                  <c:v>Piyam</c:v>
                </c:pt>
                <c:pt idx="204">
                  <c:v>Pooja</c:v>
                </c:pt>
                <c:pt idx="205">
                  <c:v>Pournamasi</c:v>
                </c:pt>
                <c:pt idx="206">
                  <c:v>Pradeep</c:v>
                </c:pt>
                <c:pt idx="207">
                  <c:v>Prajakta</c:v>
                </c:pt>
                <c:pt idx="208">
                  <c:v>Pranav</c:v>
                </c:pt>
                <c:pt idx="209">
                  <c:v>Praneet</c:v>
                </c:pt>
                <c:pt idx="210">
                  <c:v>Pranjali</c:v>
                </c:pt>
                <c:pt idx="211">
                  <c:v>Prashant</c:v>
                </c:pt>
                <c:pt idx="212">
                  <c:v>Pratiksha</c:v>
                </c:pt>
                <c:pt idx="213">
                  <c:v>Pratyusmita</c:v>
                </c:pt>
                <c:pt idx="214">
                  <c:v>Preksha</c:v>
                </c:pt>
                <c:pt idx="215">
                  <c:v>Priyanka</c:v>
                </c:pt>
                <c:pt idx="216">
                  <c:v>Priyanshu</c:v>
                </c:pt>
                <c:pt idx="217">
                  <c:v>Rachna</c:v>
                </c:pt>
                <c:pt idx="218">
                  <c:v>Rahul</c:v>
                </c:pt>
                <c:pt idx="219">
                  <c:v>Raksha</c:v>
                </c:pt>
                <c:pt idx="220">
                  <c:v>Ramesh</c:v>
                </c:pt>
                <c:pt idx="221">
                  <c:v>Rane</c:v>
                </c:pt>
                <c:pt idx="222">
                  <c:v>Rashmi</c:v>
                </c:pt>
                <c:pt idx="223">
                  <c:v>Rhea</c:v>
                </c:pt>
                <c:pt idx="224">
                  <c:v>Rishabh</c:v>
                </c:pt>
                <c:pt idx="225">
                  <c:v>Ritu</c:v>
                </c:pt>
                <c:pt idx="226">
                  <c:v>Riya</c:v>
                </c:pt>
                <c:pt idx="227">
                  <c:v>Rohan</c:v>
                </c:pt>
                <c:pt idx="228">
                  <c:v>Rohit</c:v>
                </c:pt>
                <c:pt idx="229">
                  <c:v>Rutuja</c:v>
                </c:pt>
                <c:pt idx="230">
                  <c:v>Sabah</c:v>
                </c:pt>
                <c:pt idx="231">
                  <c:v>Sagar</c:v>
                </c:pt>
                <c:pt idx="232">
                  <c:v>Sahil</c:v>
                </c:pt>
                <c:pt idx="233">
                  <c:v>Sajal</c:v>
                </c:pt>
                <c:pt idx="234">
                  <c:v>Sakshi</c:v>
                </c:pt>
                <c:pt idx="235">
                  <c:v>Saloni</c:v>
                </c:pt>
                <c:pt idx="236">
                  <c:v>Samiksha</c:v>
                </c:pt>
                <c:pt idx="237">
                  <c:v>Sandeep</c:v>
                </c:pt>
                <c:pt idx="238">
                  <c:v>Sandra</c:v>
                </c:pt>
                <c:pt idx="239">
                  <c:v>Sanjana</c:v>
                </c:pt>
                <c:pt idx="240">
                  <c:v>Sanjay</c:v>
                </c:pt>
                <c:pt idx="241">
                  <c:v>Sanjna</c:v>
                </c:pt>
                <c:pt idx="242">
                  <c:v>Sanjova</c:v>
                </c:pt>
                <c:pt idx="243">
                  <c:v>Sanskriti</c:v>
                </c:pt>
                <c:pt idx="244">
                  <c:v>Saptadeep</c:v>
                </c:pt>
                <c:pt idx="245">
                  <c:v>Sarita</c:v>
                </c:pt>
                <c:pt idx="246">
                  <c:v>Sathya</c:v>
                </c:pt>
                <c:pt idx="247">
                  <c:v>Sauptik</c:v>
                </c:pt>
                <c:pt idx="248">
                  <c:v>Saurabh</c:v>
                </c:pt>
                <c:pt idx="249">
                  <c:v>Savi</c:v>
                </c:pt>
                <c:pt idx="250">
                  <c:v>Shaily</c:v>
                </c:pt>
                <c:pt idx="251">
                  <c:v>Shantanu</c:v>
                </c:pt>
                <c:pt idx="252">
                  <c:v>Sharda</c:v>
                </c:pt>
                <c:pt idx="253">
                  <c:v>Shardul</c:v>
                </c:pt>
                <c:pt idx="254">
                  <c:v>Shatayu</c:v>
                </c:pt>
                <c:pt idx="255">
                  <c:v>Sheetal</c:v>
                </c:pt>
                <c:pt idx="256">
                  <c:v>Shefali</c:v>
                </c:pt>
                <c:pt idx="257">
                  <c:v>Shikhar</c:v>
                </c:pt>
                <c:pt idx="258">
                  <c:v>Shishu</c:v>
                </c:pt>
                <c:pt idx="259">
                  <c:v>Shiva</c:v>
                </c:pt>
                <c:pt idx="260">
                  <c:v>Shivam</c:v>
                </c:pt>
                <c:pt idx="261">
                  <c:v>Shivangi</c:v>
                </c:pt>
                <c:pt idx="262">
                  <c:v>Shivani</c:v>
                </c:pt>
                <c:pt idx="263">
                  <c:v>Shivanshu</c:v>
                </c:pt>
                <c:pt idx="264">
                  <c:v>Shourya</c:v>
                </c:pt>
                <c:pt idx="265">
                  <c:v>Shreya</c:v>
                </c:pt>
                <c:pt idx="266">
                  <c:v>Shreyoshe</c:v>
                </c:pt>
                <c:pt idx="267">
                  <c:v>Shreyshi</c:v>
                </c:pt>
                <c:pt idx="268">
                  <c:v>Shrichand</c:v>
                </c:pt>
                <c:pt idx="269">
                  <c:v>Shruti</c:v>
                </c:pt>
                <c:pt idx="270">
                  <c:v>Shubham</c:v>
                </c:pt>
                <c:pt idx="271">
                  <c:v>Shubhi</c:v>
                </c:pt>
                <c:pt idx="272">
                  <c:v>Shweta</c:v>
                </c:pt>
                <c:pt idx="273">
                  <c:v>Shyam</c:v>
                </c:pt>
                <c:pt idx="274">
                  <c:v>Siddharth</c:v>
                </c:pt>
                <c:pt idx="275">
                  <c:v>Sidharth</c:v>
                </c:pt>
                <c:pt idx="276">
                  <c:v>Smriti</c:v>
                </c:pt>
                <c:pt idx="277">
                  <c:v>Sneha</c:v>
                </c:pt>
                <c:pt idx="278">
                  <c:v>Snehal</c:v>
                </c:pt>
                <c:pt idx="279">
                  <c:v>Snel</c:v>
                </c:pt>
                <c:pt idx="280">
                  <c:v>Sonakshi</c:v>
                </c:pt>
                <c:pt idx="281">
                  <c:v>Sonal</c:v>
                </c:pt>
                <c:pt idx="282">
                  <c:v>Soodesh</c:v>
                </c:pt>
                <c:pt idx="283">
                  <c:v>Soumya</c:v>
                </c:pt>
                <c:pt idx="284">
                  <c:v>Soumyabrata</c:v>
                </c:pt>
                <c:pt idx="285">
                  <c:v>Srishti</c:v>
                </c:pt>
                <c:pt idx="286">
                  <c:v>Stuti</c:v>
                </c:pt>
                <c:pt idx="287">
                  <c:v>Subhashree</c:v>
                </c:pt>
                <c:pt idx="288">
                  <c:v>Subhasmita</c:v>
                </c:pt>
                <c:pt idx="289">
                  <c:v>Sudevi</c:v>
                </c:pt>
                <c:pt idx="290">
                  <c:v>Sudheer</c:v>
                </c:pt>
                <c:pt idx="291">
                  <c:v>Sudhir</c:v>
                </c:pt>
                <c:pt idx="292">
                  <c:v>Suhani</c:v>
                </c:pt>
                <c:pt idx="293">
                  <c:v>Sujay</c:v>
                </c:pt>
                <c:pt idx="294">
                  <c:v>Sukant</c:v>
                </c:pt>
                <c:pt idx="295">
                  <c:v>Sukrith</c:v>
                </c:pt>
                <c:pt idx="296">
                  <c:v>Sukruta</c:v>
                </c:pt>
                <c:pt idx="297">
                  <c:v>Suman</c:v>
                </c:pt>
                <c:pt idx="298">
                  <c:v>Sumeet</c:v>
                </c:pt>
                <c:pt idx="299">
                  <c:v>Surabhi</c:v>
                </c:pt>
                <c:pt idx="300">
                  <c:v>Suraj</c:v>
                </c:pt>
                <c:pt idx="301">
                  <c:v>Surbhi</c:v>
                </c:pt>
                <c:pt idx="302">
                  <c:v>Swapnil</c:v>
                </c:pt>
                <c:pt idx="303">
                  <c:v>Swati</c:v>
                </c:pt>
                <c:pt idx="304">
                  <c:v>Sweta</c:v>
                </c:pt>
                <c:pt idx="305">
                  <c:v>Swetha</c:v>
                </c:pt>
                <c:pt idx="306">
                  <c:v>Swetlana</c:v>
                </c:pt>
                <c:pt idx="307">
                  <c:v>Syed</c:v>
                </c:pt>
                <c:pt idx="308">
                  <c:v>Tanushree</c:v>
                </c:pt>
                <c:pt idx="309">
                  <c:v>Tanvi</c:v>
                </c:pt>
                <c:pt idx="310">
                  <c:v>Teena</c:v>
                </c:pt>
                <c:pt idx="311">
                  <c:v>Tejas</c:v>
                </c:pt>
                <c:pt idx="312">
                  <c:v>Tejeswini</c:v>
                </c:pt>
                <c:pt idx="313">
                  <c:v>Trupti</c:v>
                </c:pt>
                <c:pt idx="314">
                  <c:v>Tulika</c:v>
                </c:pt>
                <c:pt idx="315">
                  <c:v>Turumella</c:v>
                </c:pt>
                <c:pt idx="316">
                  <c:v>Tushina</c:v>
                </c:pt>
                <c:pt idx="317">
                  <c:v>Utkarsh</c:v>
                </c:pt>
                <c:pt idx="318">
                  <c:v>Utsav</c:v>
                </c:pt>
                <c:pt idx="319">
                  <c:v>Uudhav</c:v>
                </c:pt>
                <c:pt idx="320">
                  <c:v>Vaibhav</c:v>
                </c:pt>
                <c:pt idx="321">
                  <c:v>Vaibhavi</c:v>
                </c:pt>
                <c:pt idx="322">
                  <c:v>Vandana</c:v>
                </c:pt>
                <c:pt idx="323">
                  <c:v>Vijay</c:v>
                </c:pt>
                <c:pt idx="324">
                  <c:v>Vikash</c:v>
                </c:pt>
                <c:pt idx="325">
                  <c:v>Vineet</c:v>
                </c:pt>
                <c:pt idx="326">
                  <c:v>Vini</c:v>
                </c:pt>
                <c:pt idx="327">
                  <c:v>Vipul</c:v>
                </c:pt>
                <c:pt idx="328">
                  <c:v>Vishakha</c:v>
                </c:pt>
                <c:pt idx="329">
                  <c:v>Vivek</c:v>
                </c:pt>
                <c:pt idx="330">
                  <c:v>Vrinda</c:v>
                </c:pt>
                <c:pt idx="331">
                  <c:v>Wale</c:v>
                </c:pt>
                <c:pt idx="332">
                  <c:v>Yaanvi</c:v>
                </c:pt>
                <c:pt idx="333">
                  <c:v>Yash</c:v>
                </c:pt>
                <c:pt idx="334">
                  <c:v>Yogesh</c:v>
                </c:pt>
                <c:pt idx="335">
                  <c:v>Yohann</c:v>
                </c:pt>
              </c:strCache>
            </c:strRef>
          </c:cat>
          <c:val>
            <c:numRef>
              <c:f>'PIVOT TABLE'!$N$88:$N$424</c:f>
              <c:numCache>
                <c:formatCode>General</c:formatCode>
                <c:ptCount val="336"/>
                <c:pt idx="0">
                  <c:v>1</c:v>
                </c:pt>
                <c:pt idx="1">
                  <c:v>3</c:v>
                </c:pt>
                <c:pt idx="2">
                  <c:v>1</c:v>
                </c:pt>
                <c:pt idx="3">
                  <c:v>1</c:v>
                </c:pt>
                <c:pt idx="4">
                  <c:v>3</c:v>
                </c:pt>
                <c:pt idx="5">
                  <c:v>2</c:v>
                </c:pt>
                <c:pt idx="6">
                  <c:v>1</c:v>
                </c:pt>
                <c:pt idx="7">
                  <c:v>4</c:v>
                </c:pt>
                <c:pt idx="8">
                  <c:v>1</c:v>
                </c:pt>
                <c:pt idx="9">
                  <c:v>2</c:v>
                </c:pt>
                <c:pt idx="10">
                  <c:v>3</c:v>
                </c:pt>
                <c:pt idx="11">
                  <c:v>1</c:v>
                </c:pt>
                <c:pt idx="12">
                  <c:v>3</c:v>
                </c:pt>
                <c:pt idx="13">
                  <c:v>1</c:v>
                </c:pt>
                <c:pt idx="14">
                  <c:v>1</c:v>
                </c:pt>
                <c:pt idx="15">
                  <c:v>1</c:v>
                </c:pt>
                <c:pt idx="16">
                  <c:v>1</c:v>
                </c:pt>
                <c:pt idx="17">
                  <c:v>1</c:v>
                </c:pt>
                <c:pt idx="18">
                  <c:v>3</c:v>
                </c:pt>
                <c:pt idx="19">
                  <c:v>2</c:v>
                </c:pt>
                <c:pt idx="20">
                  <c:v>1</c:v>
                </c:pt>
                <c:pt idx="21">
                  <c:v>1</c:v>
                </c:pt>
                <c:pt idx="22">
                  <c:v>2</c:v>
                </c:pt>
                <c:pt idx="23">
                  <c:v>1</c:v>
                </c:pt>
                <c:pt idx="24">
                  <c:v>1</c:v>
                </c:pt>
                <c:pt idx="25">
                  <c:v>1</c:v>
                </c:pt>
                <c:pt idx="26">
                  <c:v>2</c:v>
                </c:pt>
                <c:pt idx="27">
                  <c:v>1</c:v>
                </c:pt>
                <c:pt idx="28">
                  <c:v>1</c:v>
                </c:pt>
                <c:pt idx="29">
                  <c:v>1</c:v>
                </c:pt>
                <c:pt idx="30">
                  <c:v>1</c:v>
                </c:pt>
                <c:pt idx="31">
                  <c:v>3</c:v>
                </c:pt>
                <c:pt idx="32">
                  <c:v>3</c:v>
                </c:pt>
                <c:pt idx="33">
                  <c:v>3</c:v>
                </c:pt>
                <c:pt idx="34">
                  <c:v>1</c:v>
                </c:pt>
                <c:pt idx="35">
                  <c:v>2</c:v>
                </c:pt>
                <c:pt idx="36">
                  <c:v>1</c:v>
                </c:pt>
                <c:pt idx="37">
                  <c:v>1</c:v>
                </c:pt>
                <c:pt idx="38">
                  <c:v>1</c:v>
                </c:pt>
                <c:pt idx="39">
                  <c:v>2</c:v>
                </c:pt>
                <c:pt idx="40">
                  <c:v>1</c:v>
                </c:pt>
                <c:pt idx="41">
                  <c:v>1</c:v>
                </c:pt>
                <c:pt idx="42">
                  <c:v>1</c:v>
                </c:pt>
                <c:pt idx="43">
                  <c:v>1</c:v>
                </c:pt>
                <c:pt idx="44">
                  <c:v>1</c:v>
                </c:pt>
                <c:pt idx="45">
                  <c:v>1</c:v>
                </c:pt>
                <c:pt idx="46">
                  <c:v>1</c:v>
                </c:pt>
                <c:pt idx="47">
                  <c:v>1</c:v>
                </c:pt>
                <c:pt idx="48">
                  <c:v>1</c:v>
                </c:pt>
                <c:pt idx="49">
                  <c:v>1</c:v>
                </c:pt>
                <c:pt idx="50">
                  <c:v>1</c:v>
                </c:pt>
                <c:pt idx="51">
                  <c:v>1</c:v>
                </c:pt>
                <c:pt idx="52">
                  <c:v>2</c:v>
                </c:pt>
                <c:pt idx="53">
                  <c:v>1</c:v>
                </c:pt>
                <c:pt idx="54">
                  <c:v>1</c:v>
                </c:pt>
                <c:pt idx="55">
                  <c:v>1</c:v>
                </c:pt>
                <c:pt idx="56">
                  <c:v>3</c:v>
                </c:pt>
                <c:pt idx="57">
                  <c:v>1</c:v>
                </c:pt>
                <c:pt idx="58">
                  <c:v>1</c:v>
                </c:pt>
                <c:pt idx="59">
                  <c:v>1</c:v>
                </c:pt>
                <c:pt idx="60">
                  <c:v>3</c:v>
                </c:pt>
                <c:pt idx="61">
                  <c:v>1</c:v>
                </c:pt>
                <c:pt idx="62">
                  <c:v>1</c:v>
                </c:pt>
                <c:pt idx="63">
                  <c:v>3</c:v>
                </c:pt>
                <c:pt idx="64">
                  <c:v>1</c:v>
                </c:pt>
                <c:pt idx="65">
                  <c:v>3</c:v>
                </c:pt>
                <c:pt idx="66">
                  <c:v>1</c:v>
                </c:pt>
                <c:pt idx="67">
                  <c:v>3</c:v>
                </c:pt>
                <c:pt idx="68">
                  <c:v>1</c:v>
                </c:pt>
                <c:pt idx="69">
                  <c:v>1</c:v>
                </c:pt>
                <c:pt idx="70">
                  <c:v>1</c:v>
                </c:pt>
                <c:pt idx="71">
                  <c:v>1</c:v>
                </c:pt>
                <c:pt idx="72">
                  <c:v>1</c:v>
                </c:pt>
                <c:pt idx="73">
                  <c:v>1</c:v>
                </c:pt>
                <c:pt idx="74">
                  <c:v>1</c:v>
                </c:pt>
                <c:pt idx="75">
                  <c:v>1</c:v>
                </c:pt>
                <c:pt idx="76">
                  <c:v>2</c:v>
                </c:pt>
                <c:pt idx="77">
                  <c:v>1</c:v>
                </c:pt>
                <c:pt idx="78">
                  <c:v>1</c:v>
                </c:pt>
                <c:pt idx="79">
                  <c:v>3</c:v>
                </c:pt>
                <c:pt idx="80">
                  <c:v>1</c:v>
                </c:pt>
                <c:pt idx="81">
                  <c:v>1</c:v>
                </c:pt>
                <c:pt idx="82">
                  <c:v>1</c:v>
                </c:pt>
                <c:pt idx="83">
                  <c:v>1</c:v>
                </c:pt>
                <c:pt idx="84">
                  <c:v>1</c:v>
                </c:pt>
                <c:pt idx="85">
                  <c:v>1</c:v>
                </c:pt>
                <c:pt idx="86">
                  <c:v>3</c:v>
                </c:pt>
                <c:pt idx="87">
                  <c:v>1</c:v>
                </c:pt>
                <c:pt idx="88">
                  <c:v>1</c:v>
                </c:pt>
                <c:pt idx="89">
                  <c:v>1</c:v>
                </c:pt>
                <c:pt idx="90">
                  <c:v>1</c:v>
                </c:pt>
                <c:pt idx="91">
                  <c:v>1</c:v>
                </c:pt>
                <c:pt idx="92">
                  <c:v>1</c:v>
                </c:pt>
                <c:pt idx="93">
                  <c:v>2</c:v>
                </c:pt>
                <c:pt idx="94">
                  <c:v>2</c:v>
                </c:pt>
                <c:pt idx="95">
                  <c:v>2</c:v>
                </c:pt>
                <c:pt idx="96">
                  <c:v>1</c:v>
                </c:pt>
                <c:pt idx="97">
                  <c:v>1</c:v>
                </c:pt>
                <c:pt idx="98">
                  <c:v>1</c:v>
                </c:pt>
                <c:pt idx="99">
                  <c:v>1</c:v>
                </c:pt>
                <c:pt idx="100">
                  <c:v>1</c:v>
                </c:pt>
                <c:pt idx="101">
                  <c:v>1</c:v>
                </c:pt>
                <c:pt idx="102">
                  <c:v>1</c:v>
                </c:pt>
                <c:pt idx="103">
                  <c:v>3</c:v>
                </c:pt>
                <c:pt idx="104">
                  <c:v>1</c:v>
                </c:pt>
                <c:pt idx="105">
                  <c:v>3</c:v>
                </c:pt>
                <c:pt idx="106">
                  <c:v>1</c:v>
                </c:pt>
                <c:pt idx="107">
                  <c:v>2</c:v>
                </c:pt>
                <c:pt idx="108">
                  <c:v>1</c:v>
                </c:pt>
                <c:pt idx="109">
                  <c:v>3</c:v>
                </c:pt>
                <c:pt idx="110">
                  <c:v>1</c:v>
                </c:pt>
                <c:pt idx="111">
                  <c:v>1</c:v>
                </c:pt>
                <c:pt idx="112">
                  <c:v>1</c:v>
                </c:pt>
                <c:pt idx="113">
                  <c:v>1</c:v>
                </c:pt>
                <c:pt idx="114">
                  <c:v>3</c:v>
                </c:pt>
                <c:pt idx="115">
                  <c:v>1</c:v>
                </c:pt>
                <c:pt idx="116">
                  <c:v>1</c:v>
                </c:pt>
                <c:pt idx="117">
                  <c:v>1</c:v>
                </c:pt>
                <c:pt idx="118">
                  <c:v>1</c:v>
                </c:pt>
                <c:pt idx="119">
                  <c:v>1</c:v>
                </c:pt>
                <c:pt idx="120">
                  <c:v>1</c:v>
                </c:pt>
                <c:pt idx="121">
                  <c:v>3</c:v>
                </c:pt>
                <c:pt idx="122">
                  <c:v>1</c:v>
                </c:pt>
                <c:pt idx="123">
                  <c:v>2</c:v>
                </c:pt>
                <c:pt idx="124">
                  <c:v>1</c:v>
                </c:pt>
                <c:pt idx="125">
                  <c:v>3</c:v>
                </c:pt>
                <c:pt idx="126">
                  <c:v>1</c:v>
                </c:pt>
                <c:pt idx="127">
                  <c:v>2</c:v>
                </c:pt>
                <c:pt idx="128">
                  <c:v>1</c:v>
                </c:pt>
                <c:pt idx="129">
                  <c:v>3</c:v>
                </c:pt>
                <c:pt idx="130">
                  <c:v>1</c:v>
                </c:pt>
                <c:pt idx="131">
                  <c:v>2</c:v>
                </c:pt>
                <c:pt idx="132">
                  <c:v>1</c:v>
                </c:pt>
                <c:pt idx="133">
                  <c:v>2</c:v>
                </c:pt>
                <c:pt idx="134">
                  <c:v>1</c:v>
                </c:pt>
                <c:pt idx="135">
                  <c:v>1</c:v>
                </c:pt>
                <c:pt idx="136">
                  <c:v>2</c:v>
                </c:pt>
                <c:pt idx="137">
                  <c:v>1</c:v>
                </c:pt>
                <c:pt idx="138">
                  <c:v>1</c:v>
                </c:pt>
                <c:pt idx="139">
                  <c:v>1</c:v>
                </c:pt>
                <c:pt idx="140">
                  <c:v>2</c:v>
                </c:pt>
                <c:pt idx="141">
                  <c:v>2</c:v>
                </c:pt>
                <c:pt idx="142">
                  <c:v>2</c:v>
                </c:pt>
                <c:pt idx="143">
                  <c:v>1</c:v>
                </c:pt>
                <c:pt idx="144">
                  <c:v>3</c:v>
                </c:pt>
                <c:pt idx="145">
                  <c:v>1</c:v>
                </c:pt>
                <c:pt idx="146">
                  <c:v>1</c:v>
                </c:pt>
                <c:pt idx="147">
                  <c:v>1</c:v>
                </c:pt>
                <c:pt idx="148">
                  <c:v>2</c:v>
                </c:pt>
                <c:pt idx="149">
                  <c:v>1</c:v>
                </c:pt>
                <c:pt idx="150">
                  <c:v>1</c:v>
                </c:pt>
                <c:pt idx="151">
                  <c:v>3</c:v>
                </c:pt>
                <c:pt idx="152">
                  <c:v>1</c:v>
                </c:pt>
                <c:pt idx="153">
                  <c:v>1</c:v>
                </c:pt>
                <c:pt idx="154">
                  <c:v>1</c:v>
                </c:pt>
                <c:pt idx="155">
                  <c:v>2</c:v>
                </c:pt>
                <c:pt idx="156">
                  <c:v>2</c:v>
                </c:pt>
                <c:pt idx="157">
                  <c:v>1</c:v>
                </c:pt>
                <c:pt idx="158">
                  <c:v>1</c:v>
                </c:pt>
                <c:pt idx="159">
                  <c:v>2</c:v>
                </c:pt>
                <c:pt idx="160">
                  <c:v>2</c:v>
                </c:pt>
                <c:pt idx="161">
                  <c:v>1</c:v>
                </c:pt>
                <c:pt idx="162">
                  <c:v>3</c:v>
                </c:pt>
                <c:pt idx="163">
                  <c:v>1</c:v>
                </c:pt>
                <c:pt idx="164">
                  <c:v>1</c:v>
                </c:pt>
                <c:pt idx="165">
                  <c:v>1</c:v>
                </c:pt>
                <c:pt idx="166">
                  <c:v>1</c:v>
                </c:pt>
                <c:pt idx="167">
                  <c:v>1</c:v>
                </c:pt>
                <c:pt idx="168">
                  <c:v>1</c:v>
                </c:pt>
                <c:pt idx="169">
                  <c:v>2</c:v>
                </c:pt>
                <c:pt idx="170">
                  <c:v>1</c:v>
                </c:pt>
                <c:pt idx="171">
                  <c:v>1</c:v>
                </c:pt>
                <c:pt idx="172">
                  <c:v>1</c:v>
                </c:pt>
                <c:pt idx="173">
                  <c:v>1</c:v>
                </c:pt>
                <c:pt idx="174">
                  <c:v>1</c:v>
                </c:pt>
                <c:pt idx="175">
                  <c:v>1</c:v>
                </c:pt>
                <c:pt idx="176">
                  <c:v>2</c:v>
                </c:pt>
                <c:pt idx="177">
                  <c:v>2</c:v>
                </c:pt>
                <c:pt idx="178">
                  <c:v>1</c:v>
                </c:pt>
                <c:pt idx="179">
                  <c:v>1</c:v>
                </c:pt>
                <c:pt idx="180">
                  <c:v>1</c:v>
                </c:pt>
                <c:pt idx="181">
                  <c:v>1</c:v>
                </c:pt>
                <c:pt idx="182">
                  <c:v>2</c:v>
                </c:pt>
                <c:pt idx="183">
                  <c:v>1</c:v>
                </c:pt>
                <c:pt idx="184">
                  <c:v>1</c:v>
                </c:pt>
                <c:pt idx="185">
                  <c:v>1</c:v>
                </c:pt>
                <c:pt idx="186">
                  <c:v>1</c:v>
                </c:pt>
                <c:pt idx="187">
                  <c:v>1</c:v>
                </c:pt>
                <c:pt idx="188">
                  <c:v>1</c:v>
                </c:pt>
                <c:pt idx="189">
                  <c:v>1</c:v>
                </c:pt>
                <c:pt idx="190">
                  <c:v>1</c:v>
                </c:pt>
                <c:pt idx="191">
                  <c:v>2</c:v>
                </c:pt>
                <c:pt idx="192">
                  <c:v>1</c:v>
                </c:pt>
                <c:pt idx="193">
                  <c:v>2</c:v>
                </c:pt>
                <c:pt idx="194">
                  <c:v>1</c:v>
                </c:pt>
                <c:pt idx="195">
                  <c:v>1</c:v>
                </c:pt>
                <c:pt idx="196">
                  <c:v>1</c:v>
                </c:pt>
                <c:pt idx="197">
                  <c:v>2</c:v>
                </c:pt>
                <c:pt idx="198">
                  <c:v>1</c:v>
                </c:pt>
                <c:pt idx="199">
                  <c:v>2</c:v>
                </c:pt>
                <c:pt idx="200">
                  <c:v>1</c:v>
                </c:pt>
                <c:pt idx="201">
                  <c:v>3</c:v>
                </c:pt>
                <c:pt idx="202">
                  <c:v>1</c:v>
                </c:pt>
                <c:pt idx="203">
                  <c:v>1</c:v>
                </c:pt>
                <c:pt idx="204">
                  <c:v>4</c:v>
                </c:pt>
                <c:pt idx="205">
                  <c:v>2</c:v>
                </c:pt>
                <c:pt idx="206">
                  <c:v>1</c:v>
                </c:pt>
                <c:pt idx="207">
                  <c:v>1</c:v>
                </c:pt>
                <c:pt idx="208">
                  <c:v>2</c:v>
                </c:pt>
                <c:pt idx="209">
                  <c:v>1</c:v>
                </c:pt>
                <c:pt idx="210">
                  <c:v>1</c:v>
                </c:pt>
                <c:pt idx="211">
                  <c:v>1</c:v>
                </c:pt>
                <c:pt idx="212">
                  <c:v>1</c:v>
                </c:pt>
                <c:pt idx="213">
                  <c:v>1</c:v>
                </c:pt>
                <c:pt idx="214">
                  <c:v>1</c:v>
                </c:pt>
                <c:pt idx="215">
                  <c:v>4</c:v>
                </c:pt>
                <c:pt idx="216">
                  <c:v>1</c:v>
                </c:pt>
                <c:pt idx="217">
                  <c:v>2</c:v>
                </c:pt>
                <c:pt idx="218">
                  <c:v>1</c:v>
                </c:pt>
                <c:pt idx="219">
                  <c:v>1</c:v>
                </c:pt>
                <c:pt idx="220">
                  <c:v>3</c:v>
                </c:pt>
                <c:pt idx="221">
                  <c:v>1</c:v>
                </c:pt>
                <c:pt idx="222">
                  <c:v>2</c:v>
                </c:pt>
                <c:pt idx="223">
                  <c:v>2</c:v>
                </c:pt>
                <c:pt idx="224">
                  <c:v>1</c:v>
                </c:pt>
                <c:pt idx="225">
                  <c:v>2</c:v>
                </c:pt>
                <c:pt idx="226">
                  <c:v>1</c:v>
                </c:pt>
                <c:pt idx="227">
                  <c:v>4</c:v>
                </c:pt>
                <c:pt idx="228">
                  <c:v>1</c:v>
                </c:pt>
                <c:pt idx="229">
                  <c:v>1</c:v>
                </c:pt>
                <c:pt idx="230">
                  <c:v>1</c:v>
                </c:pt>
                <c:pt idx="231">
                  <c:v>3</c:v>
                </c:pt>
                <c:pt idx="232">
                  <c:v>2</c:v>
                </c:pt>
                <c:pt idx="233">
                  <c:v>1</c:v>
                </c:pt>
                <c:pt idx="234">
                  <c:v>2</c:v>
                </c:pt>
                <c:pt idx="235">
                  <c:v>1</c:v>
                </c:pt>
                <c:pt idx="236">
                  <c:v>1</c:v>
                </c:pt>
                <c:pt idx="237">
                  <c:v>1</c:v>
                </c:pt>
                <c:pt idx="238">
                  <c:v>1</c:v>
                </c:pt>
                <c:pt idx="239">
                  <c:v>2</c:v>
                </c:pt>
                <c:pt idx="240">
                  <c:v>3</c:v>
                </c:pt>
                <c:pt idx="241">
                  <c:v>1</c:v>
                </c:pt>
                <c:pt idx="242">
                  <c:v>1</c:v>
                </c:pt>
                <c:pt idx="243">
                  <c:v>2</c:v>
                </c:pt>
                <c:pt idx="244">
                  <c:v>1</c:v>
                </c:pt>
                <c:pt idx="245">
                  <c:v>3</c:v>
                </c:pt>
                <c:pt idx="246">
                  <c:v>1</c:v>
                </c:pt>
                <c:pt idx="247">
                  <c:v>1</c:v>
                </c:pt>
                <c:pt idx="248">
                  <c:v>2</c:v>
                </c:pt>
                <c:pt idx="249">
                  <c:v>1</c:v>
                </c:pt>
                <c:pt idx="250">
                  <c:v>1</c:v>
                </c:pt>
                <c:pt idx="251">
                  <c:v>1</c:v>
                </c:pt>
                <c:pt idx="252">
                  <c:v>2</c:v>
                </c:pt>
                <c:pt idx="253">
                  <c:v>1</c:v>
                </c:pt>
                <c:pt idx="254">
                  <c:v>1</c:v>
                </c:pt>
                <c:pt idx="255">
                  <c:v>4</c:v>
                </c:pt>
                <c:pt idx="256">
                  <c:v>2</c:v>
                </c:pt>
                <c:pt idx="257">
                  <c:v>2</c:v>
                </c:pt>
                <c:pt idx="258">
                  <c:v>1</c:v>
                </c:pt>
                <c:pt idx="259">
                  <c:v>1</c:v>
                </c:pt>
                <c:pt idx="260">
                  <c:v>2</c:v>
                </c:pt>
                <c:pt idx="261">
                  <c:v>2</c:v>
                </c:pt>
                <c:pt idx="262">
                  <c:v>2</c:v>
                </c:pt>
                <c:pt idx="263">
                  <c:v>1</c:v>
                </c:pt>
                <c:pt idx="264">
                  <c:v>1</c:v>
                </c:pt>
                <c:pt idx="265">
                  <c:v>6</c:v>
                </c:pt>
                <c:pt idx="266">
                  <c:v>1</c:v>
                </c:pt>
                <c:pt idx="267">
                  <c:v>1</c:v>
                </c:pt>
                <c:pt idx="268">
                  <c:v>3</c:v>
                </c:pt>
                <c:pt idx="269">
                  <c:v>4</c:v>
                </c:pt>
                <c:pt idx="270">
                  <c:v>5</c:v>
                </c:pt>
                <c:pt idx="271">
                  <c:v>1</c:v>
                </c:pt>
                <c:pt idx="272">
                  <c:v>3</c:v>
                </c:pt>
                <c:pt idx="273">
                  <c:v>1</c:v>
                </c:pt>
                <c:pt idx="274">
                  <c:v>2</c:v>
                </c:pt>
                <c:pt idx="275">
                  <c:v>1</c:v>
                </c:pt>
                <c:pt idx="276">
                  <c:v>1</c:v>
                </c:pt>
                <c:pt idx="277">
                  <c:v>1</c:v>
                </c:pt>
                <c:pt idx="278">
                  <c:v>1</c:v>
                </c:pt>
                <c:pt idx="279">
                  <c:v>1</c:v>
                </c:pt>
                <c:pt idx="280">
                  <c:v>3</c:v>
                </c:pt>
                <c:pt idx="281">
                  <c:v>2</c:v>
                </c:pt>
                <c:pt idx="282">
                  <c:v>1</c:v>
                </c:pt>
                <c:pt idx="283">
                  <c:v>2</c:v>
                </c:pt>
                <c:pt idx="284">
                  <c:v>1</c:v>
                </c:pt>
                <c:pt idx="285">
                  <c:v>1</c:v>
                </c:pt>
                <c:pt idx="286">
                  <c:v>1</c:v>
                </c:pt>
                <c:pt idx="287">
                  <c:v>2</c:v>
                </c:pt>
                <c:pt idx="288">
                  <c:v>1</c:v>
                </c:pt>
                <c:pt idx="289">
                  <c:v>1</c:v>
                </c:pt>
                <c:pt idx="290">
                  <c:v>1</c:v>
                </c:pt>
                <c:pt idx="291">
                  <c:v>1</c:v>
                </c:pt>
                <c:pt idx="292">
                  <c:v>1</c:v>
                </c:pt>
                <c:pt idx="293">
                  <c:v>1</c:v>
                </c:pt>
                <c:pt idx="294">
                  <c:v>1</c:v>
                </c:pt>
                <c:pt idx="295">
                  <c:v>1</c:v>
                </c:pt>
                <c:pt idx="296">
                  <c:v>1</c:v>
                </c:pt>
                <c:pt idx="297">
                  <c:v>1</c:v>
                </c:pt>
                <c:pt idx="298">
                  <c:v>1</c:v>
                </c:pt>
                <c:pt idx="299">
                  <c:v>3</c:v>
                </c:pt>
                <c:pt idx="300">
                  <c:v>1</c:v>
                </c:pt>
                <c:pt idx="301">
                  <c:v>2</c:v>
                </c:pt>
                <c:pt idx="302">
                  <c:v>2</c:v>
                </c:pt>
                <c:pt idx="303">
                  <c:v>1</c:v>
                </c:pt>
                <c:pt idx="304">
                  <c:v>2</c:v>
                </c:pt>
                <c:pt idx="305">
                  <c:v>1</c:v>
                </c:pt>
                <c:pt idx="306">
                  <c:v>1</c:v>
                </c:pt>
                <c:pt idx="307">
                  <c:v>1</c:v>
                </c:pt>
                <c:pt idx="308">
                  <c:v>1</c:v>
                </c:pt>
                <c:pt idx="309">
                  <c:v>1</c:v>
                </c:pt>
                <c:pt idx="310">
                  <c:v>1</c:v>
                </c:pt>
                <c:pt idx="311">
                  <c:v>1</c:v>
                </c:pt>
                <c:pt idx="312">
                  <c:v>1</c:v>
                </c:pt>
                <c:pt idx="313">
                  <c:v>1</c:v>
                </c:pt>
                <c:pt idx="314">
                  <c:v>2</c:v>
                </c:pt>
                <c:pt idx="315">
                  <c:v>1</c:v>
                </c:pt>
                <c:pt idx="316">
                  <c:v>2</c:v>
                </c:pt>
                <c:pt idx="317">
                  <c:v>1</c:v>
                </c:pt>
                <c:pt idx="318">
                  <c:v>1</c:v>
                </c:pt>
                <c:pt idx="319">
                  <c:v>1</c:v>
                </c:pt>
                <c:pt idx="320">
                  <c:v>1</c:v>
                </c:pt>
                <c:pt idx="321">
                  <c:v>1</c:v>
                </c:pt>
                <c:pt idx="322">
                  <c:v>3</c:v>
                </c:pt>
                <c:pt idx="323">
                  <c:v>1</c:v>
                </c:pt>
                <c:pt idx="324">
                  <c:v>1</c:v>
                </c:pt>
                <c:pt idx="325">
                  <c:v>1</c:v>
                </c:pt>
                <c:pt idx="326">
                  <c:v>3</c:v>
                </c:pt>
                <c:pt idx="327">
                  <c:v>1</c:v>
                </c:pt>
                <c:pt idx="328">
                  <c:v>2</c:v>
                </c:pt>
                <c:pt idx="329">
                  <c:v>1</c:v>
                </c:pt>
                <c:pt idx="330">
                  <c:v>2</c:v>
                </c:pt>
                <c:pt idx="331">
                  <c:v>1</c:v>
                </c:pt>
                <c:pt idx="332">
                  <c:v>1</c:v>
                </c:pt>
                <c:pt idx="333">
                  <c:v>1</c:v>
                </c:pt>
                <c:pt idx="334">
                  <c:v>4</c:v>
                </c:pt>
                <c:pt idx="335">
                  <c:v>1</c:v>
                </c:pt>
              </c:numCache>
            </c:numRef>
          </c:val>
          <c:extLst>
            <c:ext xmlns:c16="http://schemas.microsoft.com/office/drawing/2014/chart" uri="{C3380CC4-5D6E-409C-BE32-E72D297353CC}">
              <c16:uniqueId val="{00000000-87BF-4DCA-AAB6-9CA55D102100}"/>
            </c:ext>
          </c:extLst>
        </c:ser>
        <c:dLbls>
          <c:showLegendKey val="0"/>
          <c:showVal val="0"/>
          <c:showCatName val="0"/>
          <c:showSerName val="0"/>
          <c:showPercent val="0"/>
          <c:showBubbleSize val="0"/>
        </c:dLbls>
        <c:gapWidth val="150"/>
        <c:shape val="box"/>
        <c:axId val="81848832"/>
        <c:axId val="292399568"/>
        <c:axId val="0"/>
      </c:bar3DChart>
      <c:catAx>
        <c:axId val="8184883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2399568"/>
        <c:crosses val="autoZero"/>
        <c:auto val="1"/>
        <c:lblAlgn val="ctr"/>
        <c:lblOffset val="100"/>
        <c:noMultiLvlLbl val="0"/>
      </c:catAx>
      <c:valAx>
        <c:axId val="29239956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8488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 TABLE!PivotTable15</c:name>
    <c:fmtId val="1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TABLE'!$N$66</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Pt>
            <c:idx val="2"/>
            <c:bubble3D val="0"/>
            <c:spPr>
              <a:solidFill>
                <a:schemeClr val="accent3"/>
              </a:solidFill>
              <a:ln w="25400">
                <a:solidFill>
                  <a:schemeClr val="lt1"/>
                </a:solidFill>
              </a:ln>
              <a:effectLst/>
              <a:sp3d contourW="25400">
                <a:contourClr>
                  <a:schemeClr val="lt1"/>
                </a:contourClr>
              </a:sp3d>
            </c:spPr>
          </c:dPt>
          <c:cat>
            <c:strRef>
              <c:f>'PIVOT TABLE'!$M$67:$M$70</c:f>
              <c:strCache>
                <c:ptCount val="3"/>
                <c:pt idx="0">
                  <c:v>Jan</c:v>
                </c:pt>
                <c:pt idx="1">
                  <c:v>Feb</c:v>
                </c:pt>
                <c:pt idx="2">
                  <c:v>Mar</c:v>
                </c:pt>
              </c:strCache>
            </c:strRef>
          </c:cat>
          <c:val>
            <c:numRef>
              <c:f>'PIVOT TABLE'!$N$67:$N$70</c:f>
              <c:numCache>
                <c:formatCode>General</c:formatCode>
                <c:ptCount val="3"/>
                <c:pt idx="0">
                  <c:v>61</c:v>
                </c:pt>
                <c:pt idx="1">
                  <c:v>54</c:v>
                </c:pt>
                <c:pt idx="2">
                  <c:v>58</c:v>
                </c:pt>
              </c:numCache>
            </c:numRef>
          </c:val>
          <c:extLst>
            <c:ext xmlns:c16="http://schemas.microsoft.com/office/drawing/2014/chart" uri="{C3380CC4-5D6E-409C-BE32-E72D297353CC}">
              <c16:uniqueId val="{00000000-D028-4D49-8675-953930B6990E}"/>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 TABLE!PivotTable18</c:name>
    <c:fmtId val="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 TABLE'!$M$36</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'PIVOT TABLE'!$L$37:$L$40</c:f>
              <c:strCache>
                <c:ptCount val="3"/>
                <c:pt idx="0">
                  <c:v>Madhya Pradesh</c:v>
                </c:pt>
                <c:pt idx="1">
                  <c:v>Maharashtra</c:v>
                </c:pt>
                <c:pt idx="2">
                  <c:v>Rajasthan</c:v>
                </c:pt>
              </c:strCache>
            </c:strRef>
          </c:cat>
          <c:val>
            <c:numRef>
              <c:f>'PIVOT TABLE'!$M$37:$M$40</c:f>
              <c:numCache>
                <c:formatCode>General</c:formatCode>
                <c:ptCount val="3"/>
                <c:pt idx="0">
                  <c:v>93</c:v>
                </c:pt>
                <c:pt idx="1">
                  <c:v>94</c:v>
                </c:pt>
                <c:pt idx="2">
                  <c:v>32</c:v>
                </c:pt>
              </c:numCache>
            </c:numRef>
          </c:val>
          <c:extLst>
            <c:ext xmlns:c16="http://schemas.microsoft.com/office/drawing/2014/chart" uri="{C3380CC4-5D6E-409C-BE32-E72D297353CC}">
              <c16:uniqueId val="{00000000-694E-432D-9BDD-5703E293B7C0}"/>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 TABLE!PivotTable17</c:name>
    <c:fmtId val="6"/>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15608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TABLE'!$B$68</c:f>
              <c:strCache>
                <c:ptCount val="1"/>
                <c:pt idx="0">
                  <c:v>Total</c:v>
                </c:pt>
              </c:strCache>
            </c:strRef>
          </c:tx>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s>
            <c:spPr>
              <a:solidFill>
                <a:srgbClr val="15608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TABLE'!$A$69:$A$81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TABLE'!$B$69:$B$81</c:f>
              <c:numCache>
                <c:formatCode>General</c:formatCode>
                <c:ptCount val="12"/>
                <c:pt idx="0">
                  <c:v>61</c:v>
                </c:pt>
                <c:pt idx="1">
                  <c:v>54</c:v>
                </c:pt>
                <c:pt idx="2">
                  <c:v>58</c:v>
                </c:pt>
                <c:pt idx="3">
                  <c:v>44</c:v>
                </c:pt>
                <c:pt idx="4">
                  <c:v>31</c:v>
                </c:pt>
                <c:pt idx="5">
                  <c:v>30</c:v>
                </c:pt>
                <c:pt idx="6">
                  <c:v>31</c:v>
                </c:pt>
                <c:pt idx="7">
                  <c:v>31</c:v>
                </c:pt>
                <c:pt idx="8">
                  <c:v>30</c:v>
                </c:pt>
                <c:pt idx="9">
                  <c:v>43</c:v>
                </c:pt>
                <c:pt idx="10">
                  <c:v>46</c:v>
                </c:pt>
                <c:pt idx="11">
                  <c:v>41</c:v>
                </c:pt>
              </c:numCache>
            </c:numRef>
          </c:val>
          <c:smooth val="0"/>
          <c:extLst>
            <c:ext xmlns:c16="http://schemas.microsoft.com/office/drawing/2014/chart" uri="{C3380CC4-5D6E-409C-BE32-E72D297353CC}">
              <c16:uniqueId val="{00000000-3ED2-4579-B051-D10DF82ADAD9}"/>
            </c:ext>
          </c:extLst>
        </c:ser>
        <c:dLbls>
          <c:dLblPos val="ctr"/>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715333568"/>
        <c:axId val="292356368"/>
      </c:lineChart>
      <c:catAx>
        <c:axId val="171533356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30" baseline="0">
                <a:solidFill>
                  <a:schemeClr val="lt1"/>
                </a:solidFill>
                <a:latin typeface="+mn-lt"/>
                <a:ea typeface="+mn-ea"/>
                <a:cs typeface="+mn-cs"/>
              </a:defRPr>
            </a:pPr>
            <a:endParaRPr lang="en-US"/>
          </a:p>
        </c:txPr>
        <c:crossAx val="292356368"/>
        <c:crosses val="autoZero"/>
        <c:auto val="1"/>
        <c:lblAlgn val="ctr"/>
        <c:lblOffset val="100"/>
        <c:noMultiLvlLbl val="0"/>
      </c:catAx>
      <c:valAx>
        <c:axId val="292356368"/>
        <c:scaling>
          <c:orientation val="minMax"/>
        </c:scaling>
        <c:delete val="1"/>
        <c:axPos val="l"/>
        <c:numFmt formatCode="General" sourceLinked="1"/>
        <c:majorTickMark val="none"/>
        <c:minorTickMark val="none"/>
        <c:tickLblPos val="nextTo"/>
        <c:crossAx val="1715333568"/>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lt1">
          <a:lumMod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 TABLE!PivotTable15</c:name>
    <c:fmtId val="16"/>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1"/>
          </a:solidFill>
          <a:ln>
            <a:noFill/>
          </a:ln>
          <a:effectLst>
            <a:outerShdw blurRad="254000" sx="102000" sy="102000" algn="ctr" rotWithShape="0">
              <a:prstClr val="black">
                <a:alpha val="20000"/>
              </a:prstClr>
            </a:outerShdw>
          </a:effectLst>
          <a:sp3d/>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a:sp3d/>
        </c:spPr>
      </c:pivotFmt>
      <c:pivotFmt>
        <c:idx val="7"/>
        <c:spPr>
          <a:solidFill>
            <a:schemeClr val="accent2"/>
          </a:solidFill>
          <a:ln>
            <a:noFill/>
          </a:ln>
          <a:effectLst>
            <a:outerShdw blurRad="254000" sx="102000" sy="102000" algn="ctr" rotWithShape="0">
              <a:prstClr val="black">
                <a:alpha val="20000"/>
              </a:prstClr>
            </a:outerShdw>
          </a:effectLst>
          <a:sp3d/>
        </c:spPr>
      </c:pivotFmt>
      <c:pivotFmt>
        <c:idx val="8"/>
        <c:spPr>
          <a:solidFill>
            <a:schemeClr val="accent3"/>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TABLE'!$N$66</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B000-4A21-9810-A864DACD9589}"/>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B000-4A21-9810-A864DACD9589}"/>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B000-4A21-9810-A864DACD9589}"/>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TABLE'!$M$67:$M$70</c:f>
              <c:strCache>
                <c:ptCount val="3"/>
                <c:pt idx="0">
                  <c:v>Jan</c:v>
                </c:pt>
                <c:pt idx="1">
                  <c:v>Feb</c:v>
                </c:pt>
                <c:pt idx="2">
                  <c:v>Mar</c:v>
                </c:pt>
              </c:strCache>
            </c:strRef>
          </c:cat>
          <c:val>
            <c:numRef>
              <c:f>'PIVOT TABLE'!$N$67:$N$70</c:f>
              <c:numCache>
                <c:formatCode>General</c:formatCode>
                <c:ptCount val="3"/>
                <c:pt idx="0">
                  <c:v>61</c:v>
                </c:pt>
                <c:pt idx="1">
                  <c:v>54</c:v>
                </c:pt>
                <c:pt idx="2">
                  <c:v>58</c:v>
                </c:pt>
              </c:numCache>
            </c:numRef>
          </c:val>
          <c:extLst>
            <c:ext xmlns:c16="http://schemas.microsoft.com/office/drawing/2014/chart" uri="{C3380CC4-5D6E-409C-BE32-E72D297353CC}">
              <c16:uniqueId val="{00000006-B000-4A21-9810-A864DACD9589}"/>
            </c:ext>
          </c:extLst>
        </c:ser>
        <c:dLbls>
          <c:dLblPos val="ctr"/>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 TABLE!PivotTable14</c:name>
    <c:fmtId val="2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'PIVOT TABLE'!$N$87</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TABLE'!$M$88:$M$424</c:f>
              <c:strCache>
                <c:ptCount val="336"/>
                <c:pt idx="0">
                  <c:v>Aakanksha</c:v>
                </c:pt>
                <c:pt idx="1">
                  <c:v>Aarushi</c:v>
                </c:pt>
                <c:pt idx="2">
                  <c:v>Aastha</c:v>
                </c:pt>
                <c:pt idx="3">
                  <c:v>Aayush</c:v>
                </c:pt>
                <c:pt idx="4">
                  <c:v>Aayushi</c:v>
                </c:pt>
                <c:pt idx="5">
                  <c:v>Abhijeet</c:v>
                </c:pt>
                <c:pt idx="6">
                  <c:v>Abhijit</c:v>
                </c:pt>
                <c:pt idx="7">
                  <c:v>Abhishek</c:v>
                </c:pt>
                <c:pt idx="8">
                  <c:v>Adhvaita</c:v>
                </c:pt>
                <c:pt idx="9">
                  <c:v>Aditi</c:v>
                </c:pt>
                <c:pt idx="10">
                  <c:v>Aditya</c:v>
                </c:pt>
                <c:pt idx="11">
                  <c:v>Aishwarya</c:v>
                </c:pt>
                <c:pt idx="12">
                  <c:v>Ajay</c:v>
                </c:pt>
                <c:pt idx="13">
                  <c:v>Akancha</c:v>
                </c:pt>
                <c:pt idx="14">
                  <c:v>Akanksha</c:v>
                </c:pt>
                <c:pt idx="15">
                  <c:v>Akash</c:v>
                </c:pt>
                <c:pt idx="16">
                  <c:v>Akshat</c:v>
                </c:pt>
                <c:pt idx="17">
                  <c:v>Akshata</c:v>
                </c:pt>
                <c:pt idx="18">
                  <c:v>Akshay</c:v>
                </c:pt>
                <c:pt idx="19">
                  <c:v>Aman</c:v>
                </c:pt>
                <c:pt idx="20">
                  <c:v>Ameesha</c:v>
                </c:pt>
                <c:pt idx="21">
                  <c:v>Amisha</c:v>
                </c:pt>
                <c:pt idx="22">
                  <c:v>Amit</c:v>
                </c:pt>
                <c:pt idx="23">
                  <c:v>Amlan</c:v>
                </c:pt>
                <c:pt idx="24">
                  <c:v>Amol</c:v>
                </c:pt>
                <c:pt idx="25">
                  <c:v>Amruta</c:v>
                </c:pt>
                <c:pt idx="26">
                  <c:v>Anand</c:v>
                </c:pt>
                <c:pt idx="27">
                  <c:v>Ananya</c:v>
                </c:pt>
                <c:pt idx="28">
                  <c:v>Anchal</c:v>
                </c:pt>
                <c:pt idx="29">
                  <c:v>Aniket</c:v>
                </c:pt>
                <c:pt idx="30">
                  <c:v>Anisha</c:v>
                </c:pt>
                <c:pt idx="31">
                  <c:v>Anita</c:v>
                </c:pt>
                <c:pt idx="32">
                  <c:v>Anjali</c:v>
                </c:pt>
                <c:pt idx="33">
                  <c:v>Ankit</c:v>
                </c:pt>
                <c:pt idx="34">
                  <c:v>Ankita</c:v>
                </c:pt>
                <c:pt idx="35">
                  <c:v>Ankur</c:v>
                </c:pt>
                <c:pt idx="36">
                  <c:v>Anmol</c:v>
                </c:pt>
                <c:pt idx="37">
                  <c:v>Anubhaw</c:v>
                </c:pt>
                <c:pt idx="38">
                  <c:v>Anudeep</c:v>
                </c:pt>
                <c:pt idx="39">
                  <c:v>Anurag</c:v>
                </c:pt>
                <c:pt idx="40">
                  <c:v>Aparajita</c:v>
                </c:pt>
                <c:pt idx="41">
                  <c:v>Apoorv</c:v>
                </c:pt>
                <c:pt idx="42">
                  <c:v>Apoorva</c:v>
                </c:pt>
                <c:pt idx="43">
                  <c:v>Apsingekar</c:v>
                </c:pt>
                <c:pt idx="44">
                  <c:v>Arindam</c:v>
                </c:pt>
                <c:pt idx="45">
                  <c:v>Aromal</c:v>
                </c:pt>
                <c:pt idx="46">
                  <c:v>Arpita</c:v>
                </c:pt>
                <c:pt idx="47">
                  <c:v>Arsheen</c:v>
                </c:pt>
                <c:pt idx="48">
                  <c:v>Arti</c:v>
                </c:pt>
                <c:pt idx="49">
                  <c:v>Arun</c:v>
                </c:pt>
                <c:pt idx="50">
                  <c:v>Aryan</c:v>
                </c:pt>
                <c:pt idx="51">
                  <c:v>Ashmeet</c:v>
                </c:pt>
                <c:pt idx="52">
                  <c:v>Ashmi</c:v>
                </c:pt>
                <c:pt idx="53">
                  <c:v>Ashvini</c:v>
                </c:pt>
                <c:pt idx="54">
                  <c:v>Ashwin</c:v>
                </c:pt>
                <c:pt idx="55">
                  <c:v>Asish</c:v>
                </c:pt>
                <c:pt idx="56">
                  <c:v>Atharv</c:v>
                </c:pt>
                <c:pt idx="57">
                  <c:v>Atul</c:v>
                </c:pt>
                <c:pt idx="58">
                  <c:v>Avish</c:v>
                </c:pt>
                <c:pt idx="59">
                  <c:v>Avni</c:v>
                </c:pt>
                <c:pt idx="60">
                  <c:v>Ayush</c:v>
                </c:pt>
                <c:pt idx="61">
                  <c:v>Bathina</c:v>
                </c:pt>
                <c:pt idx="62">
                  <c:v>Bhaggyasree</c:v>
                </c:pt>
                <c:pt idx="63">
                  <c:v>Bharat</c:v>
                </c:pt>
                <c:pt idx="64">
                  <c:v>Bhargav</c:v>
                </c:pt>
                <c:pt idx="65">
                  <c:v>Bhavna</c:v>
                </c:pt>
                <c:pt idx="66">
                  <c:v>Bhawna</c:v>
                </c:pt>
                <c:pt idx="67">
                  <c:v>Bhishm</c:v>
                </c:pt>
                <c:pt idx="68">
                  <c:v>Bhosale</c:v>
                </c:pt>
                <c:pt idx="69">
                  <c:v>Bhutekar</c:v>
                </c:pt>
                <c:pt idx="70">
                  <c:v>Brijesh</c:v>
                </c:pt>
                <c:pt idx="71">
                  <c:v>Chandni</c:v>
                </c:pt>
                <c:pt idx="72">
                  <c:v>Charika</c:v>
                </c:pt>
                <c:pt idx="73">
                  <c:v>Chayanika</c:v>
                </c:pt>
                <c:pt idx="74">
                  <c:v>Chetan</c:v>
                </c:pt>
                <c:pt idx="75">
                  <c:v>Chikku</c:v>
                </c:pt>
                <c:pt idx="76">
                  <c:v>Chirag</c:v>
                </c:pt>
                <c:pt idx="77">
                  <c:v>Daksh</c:v>
                </c:pt>
                <c:pt idx="78">
                  <c:v>Dashyam</c:v>
                </c:pt>
                <c:pt idx="79">
                  <c:v>Deepak</c:v>
                </c:pt>
                <c:pt idx="80">
                  <c:v>Devendra</c:v>
                </c:pt>
                <c:pt idx="81">
                  <c:v>Dhanraj</c:v>
                </c:pt>
                <c:pt idx="82">
                  <c:v>Dheeraj</c:v>
                </c:pt>
                <c:pt idx="83">
                  <c:v>Dhirajendu</c:v>
                </c:pt>
                <c:pt idx="84">
                  <c:v>Dinesh</c:v>
                </c:pt>
                <c:pt idx="85">
                  <c:v>Dipali</c:v>
                </c:pt>
                <c:pt idx="86">
                  <c:v>Divsha</c:v>
                </c:pt>
                <c:pt idx="87">
                  <c:v>Divyansh</c:v>
                </c:pt>
                <c:pt idx="88">
                  <c:v>Divyansha</c:v>
                </c:pt>
                <c:pt idx="89">
                  <c:v>Divyeshkumar</c:v>
                </c:pt>
                <c:pt idx="90">
                  <c:v>Divyeta</c:v>
                </c:pt>
                <c:pt idx="91">
                  <c:v>Diwakar</c:v>
                </c:pt>
                <c:pt idx="92">
                  <c:v>Duhita</c:v>
                </c:pt>
                <c:pt idx="93">
                  <c:v>Ekta</c:v>
                </c:pt>
                <c:pt idx="94">
                  <c:v>Farah</c:v>
                </c:pt>
                <c:pt idx="95">
                  <c:v>Gaurav</c:v>
                </c:pt>
                <c:pt idx="96">
                  <c:v>Geetanjali</c:v>
                </c:pt>
                <c:pt idx="97">
                  <c:v>Ginny</c:v>
                </c:pt>
                <c:pt idx="98">
                  <c:v>Girase</c:v>
                </c:pt>
                <c:pt idx="99">
                  <c:v>Gopal</c:v>
                </c:pt>
                <c:pt idx="100">
                  <c:v>Gunjal</c:v>
                </c:pt>
                <c:pt idx="101">
                  <c:v>Gunjan</c:v>
                </c:pt>
                <c:pt idx="102">
                  <c:v>Harivansh</c:v>
                </c:pt>
                <c:pt idx="103">
                  <c:v>Harsh</c:v>
                </c:pt>
                <c:pt idx="104">
                  <c:v>Harshita</c:v>
                </c:pt>
                <c:pt idx="105">
                  <c:v>Hazel</c:v>
                </c:pt>
                <c:pt idx="106">
                  <c:v>Hemangi</c:v>
                </c:pt>
                <c:pt idx="107">
                  <c:v>Hemant</c:v>
                </c:pt>
                <c:pt idx="108">
                  <c:v>Hitesh</c:v>
                </c:pt>
                <c:pt idx="109">
                  <c:v>Hitika</c:v>
                </c:pt>
                <c:pt idx="110">
                  <c:v>Hrisheekesh</c:v>
                </c:pt>
                <c:pt idx="111">
                  <c:v>Inderpreet</c:v>
                </c:pt>
                <c:pt idx="112">
                  <c:v>Ishit</c:v>
                </c:pt>
                <c:pt idx="113">
                  <c:v>Ishpreet</c:v>
                </c:pt>
                <c:pt idx="114">
                  <c:v>Jahan</c:v>
                </c:pt>
                <c:pt idx="115">
                  <c:v>Jaideep</c:v>
                </c:pt>
                <c:pt idx="116">
                  <c:v>Jay</c:v>
                </c:pt>
                <c:pt idx="117">
                  <c:v>Jayanti</c:v>
                </c:pt>
                <c:pt idx="118">
                  <c:v>Jaydeep</c:v>
                </c:pt>
                <c:pt idx="119">
                  <c:v>Jesal</c:v>
                </c:pt>
                <c:pt idx="120">
                  <c:v>Jesslyn</c:v>
                </c:pt>
                <c:pt idx="121">
                  <c:v>Jitesh</c:v>
                </c:pt>
                <c:pt idx="122">
                  <c:v>K</c:v>
                </c:pt>
                <c:pt idx="123">
                  <c:v>Kajal</c:v>
                </c:pt>
                <c:pt idx="124">
                  <c:v>Kalyani</c:v>
                </c:pt>
                <c:pt idx="125">
                  <c:v>Kanak</c:v>
                </c:pt>
                <c:pt idx="126">
                  <c:v>Karandeep</c:v>
                </c:pt>
                <c:pt idx="127">
                  <c:v>Kartik</c:v>
                </c:pt>
                <c:pt idx="128">
                  <c:v>Kartikay</c:v>
                </c:pt>
                <c:pt idx="129">
                  <c:v>Kasheen</c:v>
                </c:pt>
                <c:pt idx="130">
                  <c:v>Kiran</c:v>
                </c:pt>
                <c:pt idx="131">
                  <c:v>Kirti</c:v>
                </c:pt>
                <c:pt idx="132">
                  <c:v>Kishwar</c:v>
                </c:pt>
                <c:pt idx="133">
                  <c:v>Komal</c:v>
                </c:pt>
                <c:pt idx="134">
                  <c:v>Krishna</c:v>
                </c:pt>
                <c:pt idx="135">
                  <c:v>Kritika</c:v>
                </c:pt>
                <c:pt idx="136">
                  <c:v>Krutika</c:v>
                </c:pt>
                <c:pt idx="137">
                  <c:v>Kshitij</c:v>
                </c:pt>
                <c:pt idx="138">
                  <c:v>Kushal</c:v>
                </c:pt>
                <c:pt idx="139">
                  <c:v>Lalita</c:v>
                </c:pt>
                <c:pt idx="140">
                  <c:v>Lisha</c:v>
                </c:pt>
                <c:pt idx="141">
                  <c:v>Madan Mohan</c:v>
                </c:pt>
                <c:pt idx="142">
                  <c:v>Madhav</c:v>
                </c:pt>
                <c:pt idx="143">
                  <c:v>Madhulika</c:v>
                </c:pt>
                <c:pt idx="144">
                  <c:v>Mahima</c:v>
                </c:pt>
                <c:pt idx="145">
                  <c:v>Maithilee</c:v>
                </c:pt>
                <c:pt idx="146">
                  <c:v>Mane</c:v>
                </c:pt>
                <c:pt idx="147">
                  <c:v>Manibalan</c:v>
                </c:pt>
                <c:pt idx="148">
                  <c:v>Manish</c:v>
                </c:pt>
                <c:pt idx="149">
                  <c:v>Manisha</c:v>
                </c:pt>
                <c:pt idx="150">
                  <c:v>Manjiri</c:v>
                </c:pt>
                <c:pt idx="151">
                  <c:v>Manju</c:v>
                </c:pt>
                <c:pt idx="152">
                  <c:v>Manshul</c:v>
                </c:pt>
                <c:pt idx="153">
                  <c:v>Mansi</c:v>
                </c:pt>
                <c:pt idx="154">
                  <c:v>Masurkar</c:v>
                </c:pt>
                <c:pt idx="155">
                  <c:v>Mayank</c:v>
                </c:pt>
                <c:pt idx="156">
                  <c:v>Megha</c:v>
                </c:pt>
                <c:pt idx="157">
                  <c:v>Meghana</c:v>
                </c:pt>
                <c:pt idx="158">
                  <c:v>Mhatre</c:v>
                </c:pt>
                <c:pt idx="159">
                  <c:v>Mitali</c:v>
                </c:pt>
                <c:pt idx="160">
                  <c:v>Mohan</c:v>
                </c:pt>
                <c:pt idx="161">
                  <c:v>Monica</c:v>
                </c:pt>
                <c:pt idx="162">
                  <c:v>Monisha</c:v>
                </c:pt>
                <c:pt idx="163">
                  <c:v>Monu</c:v>
                </c:pt>
                <c:pt idx="164">
                  <c:v>Moumita</c:v>
                </c:pt>
                <c:pt idx="165">
                  <c:v>Mousam</c:v>
                </c:pt>
                <c:pt idx="166">
                  <c:v>Mrinal</c:v>
                </c:pt>
                <c:pt idx="167">
                  <c:v>Mrunal</c:v>
                </c:pt>
                <c:pt idx="168">
                  <c:v>Mugdha</c:v>
                </c:pt>
                <c:pt idx="169">
                  <c:v>Mukesh</c:v>
                </c:pt>
                <c:pt idx="170">
                  <c:v>Mukund</c:v>
                </c:pt>
                <c:pt idx="171">
                  <c:v>Muskan</c:v>
                </c:pt>
                <c:pt idx="172">
                  <c:v>Namrata</c:v>
                </c:pt>
                <c:pt idx="173">
                  <c:v>Nandita</c:v>
                </c:pt>
                <c:pt idx="174">
                  <c:v>Navdeep</c:v>
                </c:pt>
                <c:pt idx="175">
                  <c:v>Neha</c:v>
                </c:pt>
                <c:pt idx="176">
                  <c:v>Nida</c:v>
                </c:pt>
                <c:pt idx="177">
                  <c:v>Nidhi</c:v>
                </c:pt>
                <c:pt idx="178">
                  <c:v>Nikhil</c:v>
                </c:pt>
                <c:pt idx="179">
                  <c:v>Nikita</c:v>
                </c:pt>
                <c:pt idx="180">
                  <c:v>Nirja</c:v>
                </c:pt>
                <c:pt idx="181">
                  <c:v>Nishant</c:v>
                </c:pt>
                <c:pt idx="182">
                  <c:v>Nishi</c:v>
                </c:pt>
                <c:pt idx="183">
                  <c:v>Nitant</c:v>
                </c:pt>
                <c:pt idx="184">
                  <c:v>Noopur</c:v>
                </c:pt>
                <c:pt idx="185">
                  <c:v>Noshiba</c:v>
                </c:pt>
                <c:pt idx="186">
                  <c:v>Nripraj</c:v>
                </c:pt>
                <c:pt idx="187">
                  <c:v>Omkar</c:v>
                </c:pt>
                <c:pt idx="188">
                  <c:v>Oshin</c:v>
                </c:pt>
                <c:pt idx="189">
                  <c:v>Palak</c:v>
                </c:pt>
                <c:pt idx="190">
                  <c:v>Parakh</c:v>
                </c:pt>
                <c:pt idx="191">
                  <c:v>Paridhi</c:v>
                </c:pt>
                <c:pt idx="192">
                  <c:v>Parin</c:v>
                </c:pt>
                <c:pt idx="193">
                  <c:v>Parishi</c:v>
                </c:pt>
                <c:pt idx="194">
                  <c:v>Parna</c:v>
                </c:pt>
                <c:pt idx="195">
                  <c:v>Parnavi</c:v>
                </c:pt>
                <c:pt idx="196">
                  <c:v>Paromita</c:v>
                </c:pt>
                <c:pt idx="197">
                  <c:v>Parth</c:v>
                </c:pt>
                <c:pt idx="198">
                  <c:v>Patil</c:v>
                </c:pt>
                <c:pt idx="199">
                  <c:v>Pearl</c:v>
                </c:pt>
                <c:pt idx="200">
                  <c:v>Phalguni</c:v>
                </c:pt>
                <c:pt idx="201">
                  <c:v>Pinky</c:v>
                </c:pt>
                <c:pt idx="202">
                  <c:v>Piyali</c:v>
                </c:pt>
                <c:pt idx="203">
                  <c:v>Piyam</c:v>
                </c:pt>
                <c:pt idx="204">
                  <c:v>Pooja</c:v>
                </c:pt>
                <c:pt idx="205">
                  <c:v>Pournamasi</c:v>
                </c:pt>
                <c:pt idx="206">
                  <c:v>Pradeep</c:v>
                </c:pt>
                <c:pt idx="207">
                  <c:v>Prajakta</c:v>
                </c:pt>
                <c:pt idx="208">
                  <c:v>Pranav</c:v>
                </c:pt>
                <c:pt idx="209">
                  <c:v>Praneet</c:v>
                </c:pt>
                <c:pt idx="210">
                  <c:v>Pranjali</c:v>
                </c:pt>
                <c:pt idx="211">
                  <c:v>Prashant</c:v>
                </c:pt>
                <c:pt idx="212">
                  <c:v>Pratiksha</c:v>
                </c:pt>
                <c:pt idx="213">
                  <c:v>Pratyusmita</c:v>
                </c:pt>
                <c:pt idx="214">
                  <c:v>Preksha</c:v>
                </c:pt>
                <c:pt idx="215">
                  <c:v>Priyanka</c:v>
                </c:pt>
                <c:pt idx="216">
                  <c:v>Priyanshu</c:v>
                </c:pt>
                <c:pt idx="217">
                  <c:v>Rachna</c:v>
                </c:pt>
                <c:pt idx="218">
                  <c:v>Rahul</c:v>
                </c:pt>
                <c:pt idx="219">
                  <c:v>Raksha</c:v>
                </c:pt>
                <c:pt idx="220">
                  <c:v>Ramesh</c:v>
                </c:pt>
                <c:pt idx="221">
                  <c:v>Rane</c:v>
                </c:pt>
                <c:pt idx="222">
                  <c:v>Rashmi</c:v>
                </c:pt>
                <c:pt idx="223">
                  <c:v>Rhea</c:v>
                </c:pt>
                <c:pt idx="224">
                  <c:v>Rishabh</c:v>
                </c:pt>
                <c:pt idx="225">
                  <c:v>Ritu</c:v>
                </c:pt>
                <c:pt idx="226">
                  <c:v>Riya</c:v>
                </c:pt>
                <c:pt idx="227">
                  <c:v>Rohan</c:v>
                </c:pt>
                <c:pt idx="228">
                  <c:v>Rohit</c:v>
                </c:pt>
                <c:pt idx="229">
                  <c:v>Rutuja</c:v>
                </c:pt>
                <c:pt idx="230">
                  <c:v>Sabah</c:v>
                </c:pt>
                <c:pt idx="231">
                  <c:v>Sagar</c:v>
                </c:pt>
                <c:pt idx="232">
                  <c:v>Sahil</c:v>
                </c:pt>
                <c:pt idx="233">
                  <c:v>Sajal</c:v>
                </c:pt>
                <c:pt idx="234">
                  <c:v>Sakshi</c:v>
                </c:pt>
                <c:pt idx="235">
                  <c:v>Saloni</c:v>
                </c:pt>
                <c:pt idx="236">
                  <c:v>Samiksha</c:v>
                </c:pt>
                <c:pt idx="237">
                  <c:v>Sandeep</c:v>
                </c:pt>
                <c:pt idx="238">
                  <c:v>Sandra</c:v>
                </c:pt>
                <c:pt idx="239">
                  <c:v>Sanjana</c:v>
                </c:pt>
                <c:pt idx="240">
                  <c:v>Sanjay</c:v>
                </c:pt>
                <c:pt idx="241">
                  <c:v>Sanjna</c:v>
                </c:pt>
                <c:pt idx="242">
                  <c:v>Sanjova</c:v>
                </c:pt>
                <c:pt idx="243">
                  <c:v>Sanskriti</c:v>
                </c:pt>
                <c:pt idx="244">
                  <c:v>Saptadeep</c:v>
                </c:pt>
                <c:pt idx="245">
                  <c:v>Sarita</c:v>
                </c:pt>
                <c:pt idx="246">
                  <c:v>Sathya</c:v>
                </c:pt>
                <c:pt idx="247">
                  <c:v>Sauptik</c:v>
                </c:pt>
                <c:pt idx="248">
                  <c:v>Saurabh</c:v>
                </c:pt>
                <c:pt idx="249">
                  <c:v>Savi</c:v>
                </c:pt>
                <c:pt idx="250">
                  <c:v>Shaily</c:v>
                </c:pt>
                <c:pt idx="251">
                  <c:v>Shantanu</c:v>
                </c:pt>
                <c:pt idx="252">
                  <c:v>Sharda</c:v>
                </c:pt>
                <c:pt idx="253">
                  <c:v>Shardul</c:v>
                </c:pt>
                <c:pt idx="254">
                  <c:v>Shatayu</c:v>
                </c:pt>
                <c:pt idx="255">
                  <c:v>Sheetal</c:v>
                </c:pt>
                <c:pt idx="256">
                  <c:v>Shefali</c:v>
                </c:pt>
                <c:pt idx="257">
                  <c:v>Shikhar</c:v>
                </c:pt>
                <c:pt idx="258">
                  <c:v>Shishu</c:v>
                </c:pt>
                <c:pt idx="259">
                  <c:v>Shiva</c:v>
                </c:pt>
                <c:pt idx="260">
                  <c:v>Shivam</c:v>
                </c:pt>
                <c:pt idx="261">
                  <c:v>Shivangi</c:v>
                </c:pt>
                <c:pt idx="262">
                  <c:v>Shivani</c:v>
                </c:pt>
                <c:pt idx="263">
                  <c:v>Shivanshu</c:v>
                </c:pt>
                <c:pt idx="264">
                  <c:v>Shourya</c:v>
                </c:pt>
                <c:pt idx="265">
                  <c:v>Shreya</c:v>
                </c:pt>
                <c:pt idx="266">
                  <c:v>Shreyoshe</c:v>
                </c:pt>
                <c:pt idx="267">
                  <c:v>Shreyshi</c:v>
                </c:pt>
                <c:pt idx="268">
                  <c:v>Shrichand</c:v>
                </c:pt>
                <c:pt idx="269">
                  <c:v>Shruti</c:v>
                </c:pt>
                <c:pt idx="270">
                  <c:v>Shubham</c:v>
                </c:pt>
                <c:pt idx="271">
                  <c:v>Shubhi</c:v>
                </c:pt>
                <c:pt idx="272">
                  <c:v>Shweta</c:v>
                </c:pt>
                <c:pt idx="273">
                  <c:v>Shyam</c:v>
                </c:pt>
                <c:pt idx="274">
                  <c:v>Siddharth</c:v>
                </c:pt>
                <c:pt idx="275">
                  <c:v>Sidharth</c:v>
                </c:pt>
                <c:pt idx="276">
                  <c:v>Smriti</c:v>
                </c:pt>
                <c:pt idx="277">
                  <c:v>Sneha</c:v>
                </c:pt>
                <c:pt idx="278">
                  <c:v>Snehal</c:v>
                </c:pt>
                <c:pt idx="279">
                  <c:v>Snel</c:v>
                </c:pt>
                <c:pt idx="280">
                  <c:v>Sonakshi</c:v>
                </c:pt>
                <c:pt idx="281">
                  <c:v>Sonal</c:v>
                </c:pt>
                <c:pt idx="282">
                  <c:v>Soodesh</c:v>
                </c:pt>
                <c:pt idx="283">
                  <c:v>Soumya</c:v>
                </c:pt>
                <c:pt idx="284">
                  <c:v>Soumyabrata</c:v>
                </c:pt>
                <c:pt idx="285">
                  <c:v>Srishti</c:v>
                </c:pt>
                <c:pt idx="286">
                  <c:v>Stuti</c:v>
                </c:pt>
                <c:pt idx="287">
                  <c:v>Subhashree</c:v>
                </c:pt>
                <c:pt idx="288">
                  <c:v>Subhasmita</c:v>
                </c:pt>
                <c:pt idx="289">
                  <c:v>Sudevi</c:v>
                </c:pt>
                <c:pt idx="290">
                  <c:v>Sudheer</c:v>
                </c:pt>
                <c:pt idx="291">
                  <c:v>Sudhir</c:v>
                </c:pt>
                <c:pt idx="292">
                  <c:v>Suhani</c:v>
                </c:pt>
                <c:pt idx="293">
                  <c:v>Sujay</c:v>
                </c:pt>
                <c:pt idx="294">
                  <c:v>Sukant</c:v>
                </c:pt>
                <c:pt idx="295">
                  <c:v>Sukrith</c:v>
                </c:pt>
                <c:pt idx="296">
                  <c:v>Sukruta</c:v>
                </c:pt>
                <c:pt idx="297">
                  <c:v>Suman</c:v>
                </c:pt>
                <c:pt idx="298">
                  <c:v>Sumeet</c:v>
                </c:pt>
                <c:pt idx="299">
                  <c:v>Surabhi</c:v>
                </c:pt>
                <c:pt idx="300">
                  <c:v>Suraj</c:v>
                </c:pt>
                <c:pt idx="301">
                  <c:v>Surbhi</c:v>
                </c:pt>
                <c:pt idx="302">
                  <c:v>Swapnil</c:v>
                </c:pt>
                <c:pt idx="303">
                  <c:v>Swati</c:v>
                </c:pt>
                <c:pt idx="304">
                  <c:v>Sweta</c:v>
                </c:pt>
                <c:pt idx="305">
                  <c:v>Swetha</c:v>
                </c:pt>
                <c:pt idx="306">
                  <c:v>Swetlana</c:v>
                </c:pt>
                <c:pt idx="307">
                  <c:v>Syed</c:v>
                </c:pt>
                <c:pt idx="308">
                  <c:v>Tanushree</c:v>
                </c:pt>
                <c:pt idx="309">
                  <c:v>Tanvi</c:v>
                </c:pt>
                <c:pt idx="310">
                  <c:v>Teena</c:v>
                </c:pt>
                <c:pt idx="311">
                  <c:v>Tejas</c:v>
                </c:pt>
                <c:pt idx="312">
                  <c:v>Tejeswini</c:v>
                </c:pt>
                <c:pt idx="313">
                  <c:v>Trupti</c:v>
                </c:pt>
                <c:pt idx="314">
                  <c:v>Tulika</c:v>
                </c:pt>
                <c:pt idx="315">
                  <c:v>Turumella</c:v>
                </c:pt>
                <c:pt idx="316">
                  <c:v>Tushina</c:v>
                </c:pt>
                <c:pt idx="317">
                  <c:v>Utkarsh</c:v>
                </c:pt>
                <c:pt idx="318">
                  <c:v>Utsav</c:v>
                </c:pt>
                <c:pt idx="319">
                  <c:v>Uudhav</c:v>
                </c:pt>
                <c:pt idx="320">
                  <c:v>Vaibhav</c:v>
                </c:pt>
                <c:pt idx="321">
                  <c:v>Vaibhavi</c:v>
                </c:pt>
                <c:pt idx="322">
                  <c:v>Vandana</c:v>
                </c:pt>
                <c:pt idx="323">
                  <c:v>Vijay</c:v>
                </c:pt>
                <c:pt idx="324">
                  <c:v>Vikash</c:v>
                </c:pt>
                <c:pt idx="325">
                  <c:v>Vineet</c:v>
                </c:pt>
                <c:pt idx="326">
                  <c:v>Vini</c:v>
                </c:pt>
                <c:pt idx="327">
                  <c:v>Vipul</c:v>
                </c:pt>
                <c:pt idx="328">
                  <c:v>Vishakha</c:v>
                </c:pt>
                <c:pt idx="329">
                  <c:v>Vivek</c:v>
                </c:pt>
                <c:pt idx="330">
                  <c:v>Vrinda</c:v>
                </c:pt>
                <c:pt idx="331">
                  <c:v>Wale</c:v>
                </c:pt>
                <c:pt idx="332">
                  <c:v>Yaanvi</c:v>
                </c:pt>
                <c:pt idx="333">
                  <c:v>Yash</c:v>
                </c:pt>
                <c:pt idx="334">
                  <c:v>Yogesh</c:v>
                </c:pt>
                <c:pt idx="335">
                  <c:v>Yohann</c:v>
                </c:pt>
              </c:strCache>
            </c:strRef>
          </c:cat>
          <c:val>
            <c:numRef>
              <c:f>'PIVOT TABLE'!$N$88:$N$424</c:f>
              <c:numCache>
                <c:formatCode>General</c:formatCode>
                <c:ptCount val="336"/>
                <c:pt idx="0">
                  <c:v>1</c:v>
                </c:pt>
                <c:pt idx="1">
                  <c:v>3</c:v>
                </c:pt>
                <c:pt idx="2">
                  <c:v>1</c:v>
                </c:pt>
                <c:pt idx="3">
                  <c:v>1</c:v>
                </c:pt>
                <c:pt idx="4">
                  <c:v>3</c:v>
                </c:pt>
                <c:pt idx="5">
                  <c:v>2</c:v>
                </c:pt>
                <c:pt idx="6">
                  <c:v>1</c:v>
                </c:pt>
                <c:pt idx="7">
                  <c:v>4</c:v>
                </c:pt>
                <c:pt idx="8">
                  <c:v>1</c:v>
                </c:pt>
                <c:pt idx="9">
                  <c:v>2</c:v>
                </c:pt>
                <c:pt idx="10">
                  <c:v>3</c:v>
                </c:pt>
                <c:pt idx="11">
                  <c:v>1</c:v>
                </c:pt>
                <c:pt idx="12">
                  <c:v>3</c:v>
                </c:pt>
                <c:pt idx="13">
                  <c:v>1</c:v>
                </c:pt>
                <c:pt idx="14">
                  <c:v>1</c:v>
                </c:pt>
                <c:pt idx="15">
                  <c:v>1</c:v>
                </c:pt>
                <c:pt idx="16">
                  <c:v>1</c:v>
                </c:pt>
                <c:pt idx="17">
                  <c:v>1</c:v>
                </c:pt>
                <c:pt idx="18">
                  <c:v>3</c:v>
                </c:pt>
                <c:pt idx="19">
                  <c:v>2</c:v>
                </c:pt>
                <c:pt idx="20">
                  <c:v>1</c:v>
                </c:pt>
                <c:pt idx="21">
                  <c:v>1</c:v>
                </c:pt>
                <c:pt idx="22">
                  <c:v>2</c:v>
                </c:pt>
                <c:pt idx="23">
                  <c:v>1</c:v>
                </c:pt>
                <c:pt idx="24">
                  <c:v>1</c:v>
                </c:pt>
                <c:pt idx="25">
                  <c:v>1</c:v>
                </c:pt>
                <c:pt idx="26">
                  <c:v>2</c:v>
                </c:pt>
                <c:pt idx="27">
                  <c:v>1</c:v>
                </c:pt>
                <c:pt idx="28">
                  <c:v>1</c:v>
                </c:pt>
                <c:pt idx="29">
                  <c:v>1</c:v>
                </c:pt>
                <c:pt idx="30">
                  <c:v>1</c:v>
                </c:pt>
                <c:pt idx="31">
                  <c:v>3</c:v>
                </c:pt>
                <c:pt idx="32">
                  <c:v>3</c:v>
                </c:pt>
                <c:pt idx="33">
                  <c:v>3</c:v>
                </c:pt>
                <c:pt idx="34">
                  <c:v>1</c:v>
                </c:pt>
                <c:pt idx="35">
                  <c:v>2</c:v>
                </c:pt>
                <c:pt idx="36">
                  <c:v>1</c:v>
                </c:pt>
                <c:pt idx="37">
                  <c:v>1</c:v>
                </c:pt>
                <c:pt idx="38">
                  <c:v>1</c:v>
                </c:pt>
                <c:pt idx="39">
                  <c:v>2</c:v>
                </c:pt>
                <c:pt idx="40">
                  <c:v>1</c:v>
                </c:pt>
                <c:pt idx="41">
                  <c:v>1</c:v>
                </c:pt>
                <c:pt idx="42">
                  <c:v>1</c:v>
                </c:pt>
                <c:pt idx="43">
                  <c:v>1</c:v>
                </c:pt>
                <c:pt idx="44">
                  <c:v>1</c:v>
                </c:pt>
                <c:pt idx="45">
                  <c:v>1</c:v>
                </c:pt>
                <c:pt idx="46">
                  <c:v>1</c:v>
                </c:pt>
                <c:pt idx="47">
                  <c:v>1</c:v>
                </c:pt>
                <c:pt idx="48">
                  <c:v>1</c:v>
                </c:pt>
                <c:pt idx="49">
                  <c:v>1</c:v>
                </c:pt>
                <c:pt idx="50">
                  <c:v>1</c:v>
                </c:pt>
                <c:pt idx="51">
                  <c:v>1</c:v>
                </c:pt>
                <c:pt idx="52">
                  <c:v>2</c:v>
                </c:pt>
                <c:pt idx="53">
                  <c:v>1</c:v>
                </c:pt>
                <c:pt idx="54">
                  <c:v>1</c:v>
                </c:pt>
                <c:pt idx="55">
                  <c:v>1</c:v>
                </c:pt>
                <c:pt idx="56">
                  <c:v>3</c:v>
                </c:pt>
                <c:pt idx="57">
                  <c:v>1</c:v>
                </c:pt>
                <c:pt idx="58">
                  <c:v>1</c:v>
                </c:pt>
                <c:pt idx="59">
                  <c:v>1</c:v>
                </c:pt>
                <c:pt idx="60">
                  <c:v>3</c:v>
                </c:pt>
                <c:pt idx="61">
                  <c:v>1</c:v>
                </c:pt>
                <c:pt idx="62">
                  <c:v>1</c:v>
                </c:pt>
                <c:pt idx="63">
                  <c:v>3</c:v>
                </c:pt>
                <c:pt idx="64">
                  <c:v>1</c:v>
                </c:pt>
                <c:pt idx="65">
                  <c:v>3</c:v>
                </c:pt>
                <c:pt idx="66">
                  <c:v>1</c:v>
                </c:pt>
                <c:pt idx="67">
                  <c:v>3</c:v>
                </c:pt>
                <c:pt idx="68">
                  <c:v>1</c:v>
                </c:pt>
                <c:pt idx="69">
                  <c:v>1</c:v>
                </c:pt>
                <c:pt idx="70">
                  <c:v>1</c:v>
                </c:pt>
                <c:pt idx="71">
                  <c:v>1</c:v>
                </c:pt>
                <c:pt idx="72">
                  <c:v>1</c:v>
                </c:pt>
                <c:pt idx="73">
                  <c:v>1</c:v>
                </c:pt>
                <c:pt idx="74">
                  <c:v>1</c:v>
                </c:pt>
                <c:pt idx="75">
                  <c:v>1</c:v>
                </c:pt>
                <c:pt idx="76">
                  <c:v>2</c:v>
                </c:pt>
                <c:pt idx="77">
                  <c:v>1</c:v>
                </c:pt>
                <c:pt idx="78">
                  <c:v>1</c:v>
                </c:pt>
                <c:pt idx="79">
                  <c:v>3</c:v>
                </c:pt>
                <c:pt idx="80">
                  <c:v>1</c:v>
                </c:pt>
                <c:pt idx="81">
                  <c:v>1</c:v>
                </c:pt>
                <c:pt idx="82">
                  <c:v>1</c:v>
                </c:pt>
                <c:pt idx="83">
                  <c:v>1</c:v>
                </c:pt>
                <c:pt idx="84">
                  <c:v>1</c:v>
                </c:pt>
                <c:pt idx="85">
                  <c:v>1</c:v>
                </c:pt>
                <c:pt idx="86">
                  <c:v>3</c:v>
                </c:pt>
                <c:pt idx="87">
                  <c:v>1</c:v>
                </c:pt>
                <c:pt idx="88">
                  <c:v>1</c:v>
                </c:pt>
                <c:pt idx="89">
                  <c:v>1</c:v>
                </c:pt>
                <c:pt idx="90">
                  <c:v>1</c:v>
                </c:pt>
                <c:pt idx="91">
                  <c:v>1</c:v>
                </c:pt>
                <c:pt idx="92">
                  <c:v>1</c:v>
                </c:pt>
                <c:pt idx="93">
                  <c:v>2</c:v>
                </c:pt>
                <c:pt idx="94">
                  <c:v>2</c:v>
                </c:pt>
                <c:pt idx="95">
                  <c:v>2</c:v>
                </c:pt>
                <c:pt idx="96">
                  <c:v>1</c:v>
                </c:pt>
                <c:pt idx="97">
                  <c:v>1</c:v>
                </c:pt>
                <c:pt idx="98">
                  <c:v>1</c:v>
                </c:pt>
                <c:pt idx="99">
                  <c:v>1</c:v>
                </c:pt>
                <c:pt idx="100">
                  <c:v>1</c:v>
                </c:pt>
                <c:pt idx="101">
                  <c:v>1</c:v>
                </c:pt>
                <c:pt idx="102">
                  <c:v>1</c:v>
                </c:pt>
                <c:pt idx="103">
                  <c:v>3</c:v>
                </c:pt>
                <c:pt idx="104">
                  <c:v>1</c:v>
                </c:pt>
                <c:pt idx="105">
                  <c:v>3</c:v>
                </c:pt>
                <c:pt idx="106">
                  <c:v>1</c:v>
                </c:pt>
                <c:pt idx="107">
                  <c:v>2</c:v>
                </c:pt>
                <c:pt idx="108">
                  <c:v>1</c:v>
                </c:pt>
                <c:pt idx="109">
                  <c:v>3</c:v>
                </c:pt>
                <c:pt idx="110">
                  <c:v>1</c:v>
                </c:pt>
                <c:pt idx="111">
                  <c:v>1</c:v>
                </c:pt>
                <c:pt idx="112">
                  <c:v>1</c:v>
                </c:pt>
                <c:pt idx="113">
                  <c:v>1</c:v>
                </c:pt>
                <c:pt idx="114">
                  <c:v>3</c:v>
                </c:pt>
                <c:pt idx="115">
                  <c:v>1</c:v>
                </c:pt>
                <c:pt idx="116">
                  <c:v>1</c:v>
                </c:pt>
                <c:pt idx="117">
                  <c:v>1</c:v>
                </c:pt>
                <c:pt idx="118">
                  <c:v>1</c:v>
                </c:pt>
                <c:pt idx="119">
                  <c:v>1</c:v>
                </c:pt>
                <c:pt idx="120">
                  <c:v>1</c:v>
                </c:pt>
                <c:pt idx="121">
                  <c:v>3</c:v>
                </c:pt>
                <c:pt idx="122">
                  <c:v>1</c:v>
                </c:pt>
                <c:pt idx="123">
                  <c:v>2</c:v>
                </c:pt>
                <c:pt idx="124">
                  <c:v>1</c:v>
                </c:pt>
                <c:pt idx="125">
                  <c:v>3</c:v>
                </c:pt>
                <c:pt idx="126">
                  <c:v>1</c:v>
                </c:pt>
                <c:pt idx="127">
                  <c:v>2</c:v>
                </c:pt>
                <c:pt idx="128">
                  <c:v>1</c:v>
                </c:pt>
                <c:pt idx="129">
                  <c:v>3</c:v>
                </c:pt>
                <c:pt idx="130">
                  <c:v>1</c:v>
                </c:pt>
                <c:pt idx="131">
                  <c:v>2</c:v>
                </c:pt>
                <c:pt idx="132">
                  <c:v>1</c:v>
                </c:pt>
                <c:pt idx="133">
                  <c:v>2</c:v>
                </c:pt>
                <c:pt idx="134">
                  <c:v>1</c:v>
                </c:pt>
                <c:pt idx="135">
                  <c:v>1</c:v>
                </c:pt>
                <c:pt idx="136">
                  <c:v>2</c:v>
                </c:pt>
                <c:pt idx="137">
                  <c:v>1</c:v>
                </c:pt>
                <c:pt idx="138">
                  <c:v>1</c:v>
                </c:pt>
                <c:pt idx="139">
                  <c:v>1</c:v>
                </c:pt>
                <c:pt idx="140">
                  <c:v>2</c:v>
                </c:pt>
                <c:pt idx="141">
                  <c:v>2</c:v>
                </c:pt>
                <c:pt idx="142">
                  <c:v>2</c:v>
                </c:pt>
                <c:pt idx="143">
                  <c:v>1</c:v>
                </c:pt>
                <c:pt idx="144">
                  <c:v>3</c:v>
                </c:pt>
                <c:pt idx="145">
                  <c:v>1</c:v>
                </c:pt>
                <c:pt idx="146">
                  <c:v>1</c:v>
                </c:pt>
                <c:pt idx="147">
                  <c:v>1</c:v>
                </c:pt>
                <c:pt idx="148">
                  <c:v>2</c:v>
                </c:pt>
                <c:pt idx="149">
                  <c:v>1</c:v>
                </c:pt>
                <c:pt idx="150">
                  <c:v>1</c:v>
                </c:pt>
                <c:pt idx="151">
                  <c:v>3</c:v>
                </c:pt>
                <c:pt idx="152">
                  <c:v>1</c:v>
                </c:pt>
                <c:pt idx="153">
                  <c:v>1</c:v>
                </c:pt>
                <c:pt idx="154">
                  <c:v>1</c:v>
                </c:pt>
                <c:pt idx="155">
                  <c:v>2</c:v>
                </c:pt>
                <c:pt idx="156">
                  <c:v>2</c:v>
                </c:pt>
                <c:pt idx="157">
                  <c:v>1</c:v>
                </c:pt>
                <c:pt idx="158">
                  <c:v>1</c:v>
                </c:pt>
                <c:pt idx="159">
                  <c:v>2</c:v>
                </c:pt>
                <c:pt idx="160">
                  <c:v>2</c:v>
                </c:pt>
                <c:pt idx="161">
                  <c:v>1</c:v>
                </c:pt>
                <c:pt idx="162">
                  <c:v>3</c:v>
                </c:pt>
                <c:pt idx="163">
                  <c:v>1</c:v>
                </c:pt>
                <c:pt idx="164">
                  <c:v>1</c:v>
                </c:pt>
                <c:pt idx="165">
                  <c:v>1</c:v>
                </c:pt>
                <c:pt idx="166">
                  <c:v>1</c:v>
                </c:pt>
                <c:pt idx="167">
                  <c:v>1</c:v>
                </c:pt>
                <c:pt idx="168">
                  <c:v>1</c:v>
                </c:pt>
                <c:pt idx="169">
                  <c:v>2</c:v>
                </c:pt>
                <c:pt idx="170">
                  <c:v>1</c:v>
                </c:pt>
                <c:pt idx="171">
                  <c:v>1</c:v>
                </c:pt>
                <c:pt idx="172">
                  <c:v>1</c:v>
                </c:pt>
                <c:pt idx="173">
                  <c:v>1</c:v>
                </c:pt>
                <c:pt idx="174">
                  <c:v>1</c:v>
                </c:pt>
                <c:pt idx="175">
                  <c:v>1</c:v>
                </c:pt>
                <c:pt idx="176">
                  <c:v>2</c:v>
                </c:pt>
                <c:pt idx="177">
                  <c:v>2</c:v>
                </c:pt>
                <c:pt idx="178">
                  <c:v>1</c:v>
                </c:pt>
                <c:pt idx="179">
                  <c:v>1</c:v>
                </c:pt>
                <c:pt idx="180">
                  <c:v>1</c:v>
                </c:pt>
                <c:pt idx="181">
                  <c:v>1</c:v>
                </c:pt>
                <c:pt idx="182">
                  <c:v>2</c:v>
                </c:pt>
                <c:pt idx="183">
                  <c:v>1</c:v>
                </c:pt>
                <c:pt idx="184">
                  <c:v>1</c:v>
                </c:pt>
                <c:pt idx="185">
                  <c:v>1</c:v>
                </c:pt>
                <c:pt idx="186">
                  <c:v>1</c:v>
                </c:pt>
                <c:pt idx="187">
                  <c:v>1</c:v>
                </c:pt>
                <c:pt idx="188">
                  <c:v>1</c:v>
                </c:pt>
                <c:pt idx="189">
                  <c:v>1</c:v>
                </c:pt>
                <c:pt idx="190">
                  <c:v>1</c:v>
                </c:pt>
                <c:pt idx="191">
                  <c:v>2</c:v>
                </c:pt>
                <c:pt idx="192">
                  <c:v>1</c:v>
                </c:pt>
                <c:pt idx="193">
                  <c:v>2</c:v>
                </c:pt>
                <c:pt idx="194">
                  <c:v>1</c:v>
                </c:pt>
                <c:pt idx="195">
                  <c:v>1</c:v>
                </c:pt>
                <c:pt idx="196">
                  <c:v>1</c:v>
                </c:pt>
                <c:pt idx="197">
                  <c:v>2</c:v>
                </c:pt>
                <c:pt idx="198">
                  <c:v>1</c:v>
                </c:pt>
                <c:pt idx="199">
                  <c:v>2</c:v>
                </c:pt>
                <c:pt idx="200">
                  <c:v>1</c:v>
                </c:pt>
                <c:pt idx="201">
                  <c:v>3</c:v>
                </c:pt>
                <c:pt idx="202">
                  <c:v>1</c:v>
                </c:pt>
                <c:pt idx="203">
                  <c:v>1</c:v>
                </c:pt>
                <c:pt idx="204">
                  <c:v>4</c:v>
                </c:pt>
                <c:pt idx="205">
                  <c:v>2</c:v>
                </c:pt>
                <c:pt idx="206">
                  <c:v>1</c:v>
                </c:pt>
                <c:pt idx="207">
                  <c:v>1</c:v>
                </c:pt>
                <c:pt idx="208">
                  <c:v>2</c:v>
                </c:pt>
                <c:pt idx="209">
                  <c:v>1</c:v>
                </c:pt>
                <c:pt idx="210">
                  <c:v>1</c:v>
                </c:pt>
                <c:pt idx="211">
                  <c:v>1</c:v>
                </c:pt>
                <c:pt idx="212">
                  <c:v>1</c:v>
                </c:pt>
                <c:pt idx="213">
                  <c:v>1</c:v>
                </c:pt>
                <c:pt idx="214">
                  <c:v>1</c:v>
                </c:pt>
                <c:pt idx="215">
                  <c:v>4</c:v>
                </c:pt>
                <c:pt idx="216">
                  <c:v>1</c:v>
                </c:pt>
                <c:pt idx="217">
                  <c:v>2</c:v>
                </c:pt>
                <c:pt idx="218">
                  <c:v>1</c:v>
                </c:pt>
                <c:pt idx="219">
                  <c:v>1</c:v>
                </c:pt>
                <c:pt idx="220">
                  <c:v>3</c:v>
                </c:pt>
                <c:pt idx="221">
                  <c:v>1</c:v>
                </c:pt>
                <c:pt idx="222">
                  <c:v>2</c:v>
                </c:pt>
                <c:pt idx="223">
                  <c:v>2</c:v>
                </c:pt>
                <c:pt idx="224">
                  <c:v>1</c:v>
                </c:pt>
                <c:pt idx="225">
                  <c:v>2</c:v>
                </c:pt>
                <c:pt idx="226">
                  <c:v>1</c:v>
                </c:pt>
                <c:pt idx="227">
                  <c:v>4</c:v>
                </c:pt>
                <c:pt idx="228">
                  <c:v>1</c:v>
                </c:pt>
                <c:pt idx="229">
                  <c:v>1</c:v>
                </c:pt>
                <c:pt idx="230">
                  <c:v>1</c:v>
                </c:pt>
                <c:pt idx="231">
                  <c:v>3</c:v>
                </c:pt>
                <c:pt idx="232">
                  <c:v>2</c:v>
                </c:pt>
                <c:pt idx="233">
                  <c:v>1</c:v>
                </c:pt>
                <c:pt idx="234">
                  <c:v>2</c:v>
                </c:pt>
                <c:pt idx="235">
                  <c:v>1</c:v>
                </c:pt>
                <c:pt idx="236">
                  <c:v>1</c:v>
                </c:pt>
                <c:pt idx="237">
                  <c:v>1</c:v>
                </c:pt>
                <c:pt idx="238">
                  <c:v>1</c:v>
                </c:pt>
                <c:pt idx="239">
                  <c:v>2</c:v>
                </c:pt>
                <c:pt idx="240">
                  <c:v>3</c:v>
                </c:pt>
                <c:pt idx="241">
                  <c:v>1</c:v>
                </c:pt>
                <c:pt idx="242">
                  <c:v>1</c:v>
                </c:pt>
                <c:pt idx="243">
                  <c:v>2</c:v>
                </c:pt>
                <c:pt idx="244">
                  <c:v>1</c:v>
                </c:pt>
                <c:pt idx="245">
                  <c:v>3</c:v>
                </c:pt>
                <c:pt idx="246">
                  <c:v>1</c:v>
                </c:pt>
                <c:pt idx="247">
                  <c:v>1</c:v>
                </c:pt>
                <c:pt idx="248">
                  <c:v>2</c:v>
                </c:pt>
                <c:pt idx="249">
                  <c:v>1</c:v>
                </c:pt>
                <c:pt idx="250">
                  <c:v>1</c:v>
                </c:pt>
                <c:pt idx="251">
                  <c:v>1</c:v>
                </c:pt>
                <c:pt idx="252">
                  <c:v>2</c:v>
                </c:pt>
                <c:pt idx="253">
                  <c:v>1</c:v>
                </c:pt>
                <c:pt idx="254">
                  <c:v>1</c:v>
                </c:pt>
                <c:pt idx="255">
                  <c:v>4</c:v>
                </c:pt>
                <c:pt idx="256">
                  <c:v>2</c:v>
                </c:pt>
                <c:pt idx="257">
                  <c:v>2</c:v>
                </c:pt>
                <c:pt idx="258">
                  <c:v>1</c:v>
                </c:pt>
                <c:pt idx="259">
                  <c:v>1</c:v>
                </c:pt>
                <c:pt idx="260">
                  <c:v>2</c:v>
                </c:pt>
                <c:pt idx="261">
                  <c:v>2</c:v>
                </c:pt>
                <c:pt idx="262">
                  <c:v>2</c:v>
                </c:pt>
                <c:pt idx="263">
                  <c:v>1</c:v>
                </c:pt>
                <c:pt idx="264">
                  <c:v>1</c:v>
                </c:pt>
                <c:pt idx="265">
                  <c:v>6</c:v>
                </c:pt>
                <c:pt idx="266">
                  <c:v>1</c:v>
                </c:pt>
                <c:pt idx="267">
                  <c:v>1</c:v>
                </c:pt>
                <c:pt idx="268">
                  <c:v>3</c:v>
                </c:pt>
                <c:pt idx="269">
                  <c:v>4</c:v>
                </c:pt>
                <c:pt idx="270">
                  <c:v>5</c:v>
                </c:pt>
                <c:pt idx="271">
                  <c:v>1</c:v>
                </c:pt>
                <c:pt idx="272">
                  <c:v>3</c:v>
                </c:pt>
                <c:pt idx="273">
                  <c:v>1</c:v>
                </c:pt>
                <c:pt idx="274">
                  <c:v>2</c:v>
                </c:pt>
                <c:pt idx="275">
                  <c:v>1</c:v>
                </c:pt>
                <c:pt idx="276">
                  <c:v>1</c:v>
                </c:pt>
                <c:pt idx="277">
                  <c:v>1</c:v>
                </c:pt>
                <c:pt idx="278">
                  <c:v>1</c:v>
                </c:pt>
                <c:pt idx="279">
                  <c:v>1</c:v>
                </c:pt>
                <c:pt idx="280">
                  <c:v>3</c:v>
                </c:pt>
                <c:pt idx="281">
                  <c:v>2</c:v>
                </c:pt>
                <c:pt idx="282">
                  <c:v>1</c:v>
                </c:pt>
                <c:pt idx="283">
                  <c:v>2</c:v>
                </c:pt>
                <c:pt idx="284">
                  <c:v>1</c:v>
                </c:pt>
                <c:pt idx="285">
                  <c:v>1</c:v>
                </c:pt>
                <c:pt idx="286">
                  <c:v>1</c:v>
                </c:pt>
                <c:pt idx="287">
                  <c:v>2</c:v>
                </c:pt>
                <c:pt idx="288">
                  <c:v>1</c:v>
                </c:pt>
                <c:pt idx="289">
                  <c:v>1</c:v>
                </c:pt>
                <c:pt idx="290">
                  <c:v>1</c:v>
                </c:pt>
                <c:pt idx="291">
                  <c:v>1</c:v>
                </c:pt>
                <c:pt idx="292">
                  <c:v>1</c:v>
                </c:pt>
                <c:pt idx="293">
                  <c:v>1</c:v>
                </c:pt>
                <c:pt idx="294">
                  <c:v>1</c:v>
                </c:pt>
                <c:pt idx="295">
                  <c:v>1</c:v>
                </c:pt>
                <c:pt idx="296">
                  <c:v>1</c:v>
                </c:pt>
                <c:pt idx="297">
                  <c:v>1</c:v>
                </c:pt>
                <c:pt idx="298">
                  <c:v>1</c:v>
                </c:pt>
                <c:pt idx="299">
                  <c:v>3</c:v>
                </c:pt>
                <c:pt idx="300">
                  <c:v>1</c:v>
                </c:pt>
                <c:pt idx="301">
                  <c:v>2</c:v>
                </c:pt>
                <c:pt idx="302">
                  <c:v>2</c:v>
                </c:pt>
                <c:pt idx="303">
                  <c:v>1</c:v>
                </c:pt>
                <c:pt idx="304">
                  <c:v>2</c:v>
                </c:pt>
                <c:pt idx="305">
                  <c:v>1</c:v>
                </c:pt>
                <c:pt idx="306">
                  <c:v>1</c:v>
                </c:pt>
                <c:pt idx="307">
                  <c:v>1</c:v>
                </c:pt>
                <c:pt idx="308">
                  <c:v>1</c:v>
                </c:pt>
                <c:pt idx="309">
                  <c:v>1</c:v>
                </c:pt>
                <c:pt idx="310">
                  <c:v>1</c:v>
                </c:pt>
                <c:pt idx="311">
                  <c:v>1</c:v>
                </c:pt>
                <c:pt idx="312">
                  <c:v>1</c:v>
                </c:pt>
                <c:pt idx="313">
                  <c:v>1</c:v>
                </c:pt>
                <c:pt idx="314">
                  <c:v>2</c:v>
                </c:pt>
                <c:pt idx="315">
                  <c:v>1</c:v>
                </c:pt>
                <c:pt idx="316">
                  <c:v>2</c:v>
                </c:pt>
                <c:pt idx="317">
                  <c:v>1</c:v>
                </c:pt>
                <c:pt idx="318">
                  <c:v>1</c:v>
                </c:pt>
                <c:pt idx="319">
                  <c:v>1</c:v>
                </c:pt>
                <c:pt idx="320">
                  <c:v>1</c:v>
                </c:pt>
                <c:pt idx="321">
                  <c:v>1</c:v>
                </c:pt>
                <c:pt idx="322">
                  <c:v>3</c:v>
                </c:pt>
                <c:pt idx="323">
                  <c:v>1</c:v>
                </c:pt>
                <c:pt idx="324">
                  <c:v>1</c:v>
                </c:pt>
                <c:pt idx="325">
                  <c:v>1</c:v>
                </c:pt>
                <c:pt idx="326">
                  <c:v>3</c:v>
                </c:pt>
                <c:pt idx="327">
                  <c:v>1</c:v>
                </c:pt>
                <c:pt idx="328">
                  <c:v>2</c:v>
                </c:pt>
                <c:pt idx="329">
                  <c:v>1</c:v>
                </c:pt>
                <c:pt idx="330">
                  <c:v>2</c:v>
                </c:pt>
                <c:pt idx="331">
                  <c:v>1</c:v>
                </c:pt>
                <c:pt idx="332">
                  <c:v>1</c:v>
                </c:pt>
                <c:pt idx="333">
                  <c:v>1</c:v>
                </c:pt>
                <c:pt idx="334">
                  <c:v>4</c:v>
                </c:pt>
                <c:pt idx="335">
                  <c:v>1</c:v>
                </c:pt>
              </c:numCache>
            </c:numRef>
          </c:val>
          <c:extLst>
            <c:ext xmlns:c16="http://schemas.microsoft.com/office/drawing/2014/chart" uri="{C3380CC4-5D6E-409C-BE32-E72D297353CC}">
              <c16:uniqueId val="{00000000-EB7C-4AA5-AE17-08639AF81FB9}"/>
            </c:ext>
          </c:extLst>
        </c:ser>
        <c:dLbls>
          <c:showLegendKey val="0"/>
          <c:showVal val="1"/>
          <c:showCatName val="0"/>
          <c:showSerName val="0"/>
          <c:showPercent val="0"/>
          <c:showBubbleSize val="0"/>
        </c:dLbls>
        <c:gapWidth val="150"/>
        <c:shape val="box"/>
        <c:axId val="81848832"/>
        <c:axId val="292399568"/>
        <c:axId val="0"/>
      </c:bar3DChart>
      <c:catAx>
        <c:axId val="8184883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92399568"/>
        <c:crosses val="autoZero"/>
        <c:auto val="1"/>
        <c:lblAlgn val="ctr"/>
        <c:lblOffset val="100"/>
        <c:noMultiLvlLbl val="0"/>
      </c:catAx>
      <c:valAx>
        <c:axId val="292399568"/>
        <c:scaling>
          <c:orientation val="minMax"/>
        </c:scaling>
        <c:delete val="0"/>
        <c:axPos val="b"/>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18488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 TABLE!PivotTable21</c:name>
    <c:fmtId val="28"/>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 TABLE'!$B$3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TABLE'!$A$4:$A$29</c:f>
              <c:strCache>
                <c:ptCount val="25"/>
                <c:pt idx="0">
                  <c:v>Ahmedabad</c:v>
                </c:pt>
                <c:pt idx="1">
                  <c:v>Amritsar</c:v>
                </c:pt>
                <c:pt idx="2">
                  <c:v>Bangalore</c:v>
                </c:pt>
                <c:pt idx="3">
                  <c:v>Bhopal</c:v>
                </c:pt>
                <c:pt idx="4">
                  <c:v>Chandigarh</c:v>
                </c:pt>
                <c:pt idx="5">
                  <c:v>Chennai</c:v>
                </c:pt>
                <c:pt idx="6">
                  <c:v>Delhi</c:v>
                </c:pt>
                <c:pt idx="7">
                  <c:v>Gangtok</c:v>
                </c:pt>
                <c:pt idx="8">
                  <c:v>Goa</c:v>
                </c:pt>
                <c:pt idx="9">
                  <c:v>Hyderabad</c:v>
                </c:pt>
                <c:pt idx="10">
                  <c:v>Indore</c:v>
                </c:pt>
                <c:pt idx="11">
                  <c:v>Jaipur</c:v>
                </c:pt>
                <c:pt idx="12">
                  <c:v>Kashmir</c:v>
                </c:pt>
                <c:pt idx="13">
                  <c:v>Kohima</c:v>
                </c:pt>
                <c:pt idx="14">
                  <c:v>Kolkata</c:v>
                </c:pt>
                <c:pt idx="15">
                  <c:v>Lucknow</c:v>
                </c:pt>
                <c:pt idx="16">
                  <c:v>Mathura</c:v>
                </c:pt>
                <c:pt idx="17">
                  <c:v>Mumbai</c:v>
                </c:pt>
                <c:pt idx="18">
                  <c:v>Patna</c:v>
                </c:pt>
                <c:pt idx="19">
                  <c:v>Prayagraj</c:v>
                </c:pt>
                <c:pt idx="20">
                  <c:v>Pune</c:v>
                </c:pt>
                <c:pt idx="21">
                  <c:v>Simla</c:v>
                </c:pt>
                <c:pt idx="22">
                  <c:v>Surat</c:v>
                </c:pt>
                <c:pt idx="23">
                  <c:v>Thiruvananthapuram</c:v>
                </c:pt>
                <c:pt idx="24">
                  <c:v>Udaipur</c:v>
                </c:pt>
              </c:strCache>
            </c:strRef>
          </c:cat>
          <c:val>
            <c:numRef>
              <c:f>'PIVOT TABLE'!$B$4:$B$29</c:f>
              <c:numCache>
                <c:formatCode>General</c:formatCode>
                <c:ptCount val="25"/>
                <c:pt idx="0">
                  <c:v>17</c:v>
                </c:pt>
                <c:pt idx="1">
                  <c:v>9</c:v>
                </c:pt>
                <c:pt idx="2">
                  <c:v>20</c:v>
                </c:pt>
                <c:pt idx="3">
                  <c:v>22</c:v>
                </c:pt>
                <c:pt idx="4">
                  <c:v>30</c:v>
                </c:pt>
                <c:pt idx="5">
                  <c:v>8</c:v>
                </c:pt>
                <c:pt idx="6">
                  <c:v>24</c:v>
                </c:pt>
                <c:pt idx="7">
                  <c:v>12</c:v>
                </c:pt>
                <c:pt idx="8">
                  <c:v>14</c:v>
                </c:pt>
                <c:pt idx="9">
                  <c:v>15</c:v>
                </c:pt>
                <c:pt idx="10">
                  <c:v>71</c:v>
                </c:pt>
                <c:pt idx="11">
                  <c:v>19</c:v>
                </c:pt>
                <c:pt idx="12">
                  <c:v>14</c:v>
                </c:pt>
                <c:pt idx="13">
                  <c:v>15</c:v>
                </c:pt>
                <c:pt idx="14">
                  <c:v>22</c:v>
                </c:pt>
                <c:pt idx="15">
                  <c:v>13</c:v>
                </c:pt>
                <c:pt idx="16">
                  <c:v>6</c:v>
                </c:pt>
                <c:pt idx="17">
                  <c:v>67</c:v>
                </c:pt>
                <c:pt idx="18">
                  <c:v>16</c:v>
                </c:pt>
                <c:pt idx="19">
                  <c:v>6</c:v>
                </c:pt>
                <c:pt idx="20">
                  <c:v>27</c:v>
                </c:pt>
                <c:pt idx="21">
                  <c:v>14</c:v>
                </c:pt>
                <c:pt idx="22">
                  <c:v>10</c:v>
                </c:pt>
                <c:pt idx="23">
                  <c:v>16</c:v>
                </c:pt>
                <c:pt idx="24">
                  <c:v>13</c:v>
                </c:pt>
              </c:numCache>
            </c:numRef>
          </c:val>
          <c:extLst>
            <c:ext xmlns:c16="http://schemas.microsoft.com/office/drawing/2014/chart" uri="{C3380CC4-5D6E-409C-BE32-E72D297353CC}">
              <c16:uniqueId val="{00000000-0962-4E71-9438-7850BBEC37A6}"/>
            </c:ext>
          </c:extLst>
        </c:ser>
        <c:dLbls>
          <c:showLegendKey val="0"/>
          <c:showVal val="0"/>
          <c:showCatName val="0"/>
          <c:showSerName val="0"/>
          <c:showPercent val="0"/>
          <c:showBubbleSize val="0"/>
        </c:dLbls>
        <c:gapWidth val="150"/>
        <c:shape val="box"/>
        <c:axId val="81913792"/>
        <c:axId val="292403888"/>
        <c:axId val="0"/>
      </c:bar3DChart>
      <c:catAx>
        <c:axId val="8191379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92403888"/>
        <c:crosses val="autoZero"/>
        <c:auto val="1"/>
        <c:lblAlgn val="ctr"/>
        <c:lblOffset val="100"/>
        <c:noMultiLvlLbl val="0"/>
      </c:catAx>
      <c:valAx>
        <c:axId val="29240388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19137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 TABLE!PivotTable19</c:name>
    <c:fmtId val="1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TABLE'!$B$38</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TABLE'!$A$39:$A$58</c:f>
              <c:strCache>
                <c:ptCount val="19"/>
                <c:pt idx="0">
                  <c:v>Andhra Pradesh</c:v>
                </c:pt>
                <c:pt idx="1">
                  <c:v>Bihar</c:v>
                </c:pt>
                <c:pt idx="2">
                  <c:v>Delhi</c:v>
                </c:pt>
                <c:pt idx="3">
                  <c:v>Goa</c:v>
                </c:pt>
                <c:pt idx="4">
                  <c:v>Gujarat</c:v>
                </c:pt>
                <c:pt idx="5">
                  <c:v>Haryana</c:v>
                </c:pt>
                <c:pt idx="6">
                  <c:v>Himachal Pradesh</c:v>
                </c:pt>
                <c:pt idx="7">
                  <c:v>Jammu and Kashmir</c:v>
                </c:pt>
                <c:pt idx="8">
                  <c:v>Karnataka</c:v>
                </c:pt>
                <c:pt idx="9">
                  <c:v>Kerala </c:v>
                </c:pt>
                <c:pt idx="10">
                  <c:v>Madhya Pradesh</c:v>
                </c:pt>
                <c:pt idx="11">
                  <c:v>Maharashtra</c:v>
                </c:pt>
                <c:pt idx="12">
                  <c:v>Nagaland</c:v>
                </c:pt>
                <c:pt idx="13">
                  <c:v>Punjab</c:v>
                </c:pt>
                <c:pt idx="14">
                  <c:v>Rajasthan</c:v>
                </c:pt>
                <c:pt idx="15">
                  <c:v>Sikkim</c:v>
                </c:pt>
                <c:pt idx="16">
                  <c:v>Tamil Nadu</c:v>
                </c:pt>
                <c:pt idx="17">
                  <c:v>Uttar Pradesh</c:v>
                </c:pt>
                <c:pt idx="18">
                  <c:v>West Bengal</c:v>
                </c:pt>
              </c:strCache>
            </c:strRef>
          </c:cat>
          <c:val>
            <c:numRef>
              <c:f>'PIVOT TABLE'!$B$39:$B$58</c:f>
              <c:numCache>
                <c:formatCode>General</c:formatCode>
                <c:ptCount val="19"/>
                <c:pt idx="0">
                  <c:v>15</c:v>
                </c:pt>
                <c:pt idx="1">
                  <c:v>16</c:v>
                </c:pt>
                <c:pt idx="2">
                  <c:v>24</c:v>
                </c:pt>
                <c:pt idx="3">
                  <c:v>14</c:v>
                </c:pt>
                <c:pt idx="4">
                  <c:v>27</c:v>
                </c:pt>
                <c:pt idx="5">
                  <c:v>14</c:v>
                </c:pt>
                <c:pt idx="6">
                  <c:v>14</c:v>
                </c:pt>
                <c:pt idx="7">
                  <c:v>14</c:v>
                </c:pt>
                <c:pt idx="8">
                  <c:v>20</c:v>
                </c:pt>
                <c:pt idx="9">
                  <c:v>16</c:v>
                </c:pt>
                <c:pt idx="10">
                  <c:v>93</c:v>
                </c:pt>
                <c:pt idx="11">
                  <c:v>94</c:v>
                </c:pt>
                <c:pt idx="12">
                  <c:v>15</c:v>
                </c:pt>
                <c:pt idx="13">
                  <c:v>25</c:v>
                </c:pt>
                <c:pt idx="14">
                  <c:v>32</c:v>
                </c:pt>
                <c:pt idx="15">
                  <c:v>12</c:v>
                </c:pt>
                <c:pt idx="16">
                  <c:v>8</c:v>
                </c:pt>
                <c:pt idx="17">
                  <c:v>25</c:v>
                </c:pt>
                <c:pt idx="18">
                  <c:v>22</c:v>
                </c:pt>
              </c:numCache>
            </c:numRef>
          </c:val>
          <c:extLst>
            <c:ext xmlns:c16="http://schemas.microsoft.com/office/drawing/2014/chart" uri="{C3380CC4-5D6E-409C-BE32-E72D297353CC}">
              <c16:uniqueId val="{00000000-E76D-4B4C-AFFB-5141AB53EA12}"/>
            </c:ext>
          </c:extLst>
        </c:ser>
        <c:dLbls>
          <c:dLblPos val="inEnd"/>
          <c:showLegendKey val="0"/>
          <c:showVal val="1"/>
          <c:showCatName val="0"/>
          <c:showSerName val="0"/>
          <c:showPercent val="0"/>
          <c:showBubbleSize val="0"/>
        </c:dLbls>
        <c:gapWidth val="115"/>
        <c:overlap val="-20"/>
        <c:axId val="1715362800"/>
        <c:axId val="292432208"/>
      </c:barChart>
      <c:catAx>
        <c:axId val="1715362800"/>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92432208"/>
        <c:crosses val="autoZero"/>
        <c:auto val="1"/>
        <c:lblAlgn val="ctr"/>
        <c:lblOffset val="100"/>
        <c:noMultiLvlLbl val="0"/>
      </c:catAx>
      <c:valAx>
        <c:axId val="29243220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153628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 TABLE!PivotTable18</c:name>
    <c:fmtId val="11"/>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'PIVOT TABLE'!$M$36</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6FB8-414C-8953-B469D4D0B5E1}"/>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6FB8-414C-8953-B469D4D0B5E1}"/>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6FB8-414C-8953-B469D4D0B5E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separator>
</c:separator>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TABLE'!$L$37:$L$40</c:f>
              <c:strCache>
                <c:ptCount val="3"/>
                <c:pt idx="0">
                  <c:v>Madhya Pradesh</c:v>
                </c:pt>
                <c:pt idx="1">
                  <c:v>Maharashtra</c:v>
                </c:pt>
                <c:pt idx="2">
                  <c:v>Rajasthan</c:v>
                </c:pt>
              </c:strCache>
            </c:strRef>
          </c:cat>
          <c:val>
            <c:numRef>
              <c:f>'PIVOT TABLE'!$M$37:$M$40</c:f>
              <c:numCache>
                <c:formatCode>General</c:formatCode>
                <c:ptCount val="3"/>
                <c:pt idx="0">
                  <c:v>93</c:v>
                </c:pt>
                <c:pt idx="1">
                  <c:v>94</c:v>
                </c:pt>
                <c:pt idx="2">
                  <c:v>32</c:v>
                </c:pt>
              </c:numCache>
            </c:numRef>
          </c:val>
          <c:extLst>
            <c:ext xmlns:c16="http://schemas.microsoft.com/office/drawing/2014/chart" uri="{C3380CC4-5D6E-409C-BE32-E72D297353CC}">
              <c16:uniqueId val="{00000006-6FB8-414C-8953-B469D4D0B5E1}"/>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_xlchart.v1.4</cx:f>
      </cx:strDim>
      <cx:numDim type="size">
        <cx:f>_xlchart.v1.5</cx:f>
      </cx:numDim>
    </cx:data>
  </cx:chartData>
  <cx:chart>
    <cx:title pos="t" align="ctr" overlay="0"/>
    <cx:plotArea>
      <cx:plotAreaRegion>
        <cx:series layoutId="treemap" uniqueId="{00000000-1226-4AE0-A749-C4433159DE22}">
          <cx:dataLabels pos="inEnd">
            <cx:visibility seriesName="0" categoryName="1" value="0"/>
          </cx:dataLabels>
          <cx:dataId val="0"/>
          <cx:layoutPr>
            <cx:parentLabelLayout val="overlapping"/>
          </cx:layoutPr>
        </cx:series>
      </cx:plotAreaRegion>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_xlchart.v1.6</cx:f>
      </cx:strDim>
      <cx:numDim type="val">
        <cx:f>_xlchart.v1.7</cx:f>
      </cx:numDim>
    </cx:data>
  </cx:chartData>
  <cx:chart>
    <cx:plotArea>
      <cx:plotAreaRegion>
        <cx:series layoutId="waterfall" uniqueId="{00000000-2CDA-4AF5-9E75-DE78528ED278}">
          <cx:dataLabels pos="outEnd">
            <cx:visibility seriesName="0" categoryName="0" value="1"/>
          </cx:dataLabels>
          <cx:dataId val="0"/>
          <cx:layoutPr>
            <cx:subtotals/>
          </cx:layoutPr>
        </cx:series>
      </cx:plotAreaRegion>
      <cx:axis id="0">
        <cx:catScaling gapWidth="0.5"/>
        <cx:tickLabels/>
      </cx:axis>
      <cx:axis id="1">
        <cx:valScaling/>
        <cx:tickLabels/>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_xlchart.v1.2</cx:f>
      </cx:strDim>
      <cx:numDim type="size">
        <cx:f>_xlchart.v1.3</cx:f>
      </cx:numDim>
    </cx:data>
  </cx:chartData>
  <cx:chart>
    <cx:plotArea>
      <cx:plotAreaRegion>
        <cx:series layoutId="treemap" uniqueId="{00000000-645C-4716-AF7C-7588030AD524}">
          <cx:dataLabels pos="inEnd">
            <cx:visibility seriesName="0" categoryName="1" value="0"/>
          </cx:dataLabels>
          <cx:dataId val="0"/>
          <cx:layoutPr>
            <cx:parentLabelLayout val="overlapping"/>
          </cx:layoutPr>
        </cx:series>
      </cx:plotAreaRegion>
    </cx:plotArea>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_xlchart.v1.8</cx:f>
      </cx:strDim>
      <cx:numDim type="val">
        <cx:f>_xlchart.v1.9</cx:f>
      </cx:numDim>
    </cx:data>
  </cx:chartData>
  <cx:chart>
    <cx:plotArea>
      <cx:plotAreaRegion>
        <cx:series layoutId="waterfall" uniqueId="{00000000-2CDA-4AF5-9E75-DE78528ED278}">
          <cx:dataLabels pos="outEnd">
            <cx:visibility seriesName="0" categoryName="0" value="1"/>
          </cx:dataLabels>
          <cx:dataId val="0"/>
          <cx:layoutPr>
            <cx:visibility connectorLines="0"/>
            <cx:subtotals/>
          </cx:layoutPr>
        </cx:series>
      </cx:plotAreaRegion>
      <cx:axis id="0">
        <cx:catScaling gapWidth="0.25"/>
        <cx:tickLabels/>
      </cx:axis>
      <cx:axis id="1" hidden="1">
        <cx:valScaling/>
        <cx:tickLabels/>
      </cx:axis>
    </cx:plotArea>
  </cx:chart>
</cx:chartSpace>
</file>

<file path=xl/charts/chartEx5.xml><?xml version="1.0" encoding="utf-8"?>
<cx:chartSpace xmlns:a="http://schemas.openxmlformats.org/drawingml/2006/main" xmlns:r="http://schemas.openxmlformats.org/officeDocument/2006/relationships" xmlns:cx="http://schemas.microsoft.com/office/drawing/2014/chartex">
  <cx:chartData>
    <cx:data id="0">
      <cx:strDim type="cat">
        <cx:f>_xlchart.v1.10</cx:f>
      </cx:strDim>
      <cx:numDim type="size">
        <cx:f>_xlchart.v1.11</cx:f>
      </cx:numDim>
    </cx:data>
  </cx:chartData>
  <cx:chart>
    <cx:plotArea>
      <cx:plotAreaRegion>
        <cx:series layoutId="treemap" uniqueId="{00000000-645C-4716-AF7C-7588030AD524}">
          <cx:dataLabels pos="inEnd">
            <cx:visibility seriesName="0" categoryName="1" value="0"/>
          </cx:dataLabels>
          <cx:dataId val="0"/>
          <cx:layoutPr>
            <cx:parentLabelLayout val="overlapping"/>
          </cx:layoutPr>
        </cx:series>
      </cx:plotAreaRegion>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397">
  <cs:axisTitle>
    <cs:lnRef idx="0"/>
    <cs:fillRef idx="0"/>
    <cs:effectRef idx="0"/>
    <cs:fontRef idx="minor">
      <a:schemeClr val="dk1">
        <a:lumMod val="75000"/>
        <a:lumOff val="25000"/>
      </a:schemeClr>
    </cs:fontRef>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dk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7.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8.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6.xml"/><Relationship Id="rId3" Type="http://schemas.openxmlformats.org/officeDocument/2006/relationships/chart" Target="../charts/chart2.xml"/><Relationship Id="rId7" Type="http://schemas.openxmlformats.org/officeDocument/2006/relationships/chart" Target="../charts/chart5.xml"/><Relationship Id="rId2" Type="http://schemas.openxmlformats.org/officeDocument/2006/relationships/chart" Target="../charts/chart1.xml"/><Relationship Id="rId1" Type="http://schemas.microsoft.com/office/2014/relationships/chartEx" Target="../charts/chartEx1.xml"/><Relationship Id="rId6" Type="http://schemas.microsoft.com/office/2014/relationships/chartEx" Target="../charts/chartEx2.xml"/><Relationship Id="rId5" Type="http://schemas.openxmlformats.org/officeDocument/2006/relationships/chart" Target="../charts/chart4.xml"/><Relationship Id="rId10" Type="http://schemas.openxmlformats.org/officeDocument/2006/relationships/chart" Target="../charts/chart7.xml"/><Relationship Id="rId4" Type="http://schemas.openxmlformats.org/officeDocument/2006/relationships/chart" Target="../charts/chart3.xml"/><Relationship Id="rId9" Type="http://schemas.microsoft.com/office/2014/relationships/chartEx" Target="../charts/chartEx3.xml"/></Relationships>
</file>

<file path=xl/drawings/_rels/drawing2.xml.rels><?xml version="1.0" encoding="UTF-8" standalone="yes"?>
<Relationships xmlns="http://schemas.openxmlformats.org/package/2006/relationships"><Relationship Id="rId3" Type="http://schemas.openxmlformats.org/officeDocument/2006/relationships/hyperlink" Target="#ORDER!A1"/><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hyperlink" Target="#STATE!A1"/><Relationship Id="rId5" Type="http://schemas.openxmlformats.org/officeDocument/2006/relationships/hyperlink" Target="#CITIES!A1"/><Relationship Id="rId4" Type="http://schemas.openxmlformats.org/officeDocument/2006/relationships/hyperlink" Target="#CUSTOMER!A1"/></Relationships>
</file>

<file path=xl/drawings/_rels/drawing3.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image" Target="../media/image2.svg"/><Relationship Id="rId7" Type="http://schemas.openxmlformats.org/officeDocument/2006/relationships/hyperlink" Target="#DASHBOARD!A1"/><Relationship Id="rId2" Type="http://schemas.openxmlformats.org/officeDocument/2006/relationships/image" Target="../media/image1.png"/><Relationship Id="rId1" Type="http://schemas.openxmlformats.org/officeDocument/2006/relationships/hyperlink" Target="#ORDER!A1"/><Relationship Id="rId6" Type="http://schemas.openxmlformats.org/officeDocument/2006/relationships/hyperlink" Target="#STATE!A1"/><Relationship Id="rId5" Type="http://schemas.openxmlformats.org/officeDocument/2006/relationships/hyperlink" Target="#CITIES!A1"/><Relationship Id="rId4" Type="http://schemas.openxmlformats.org/officeDocument/2006/relationships/hyperlink" Target="#CUSTOMER!A1"/><Relationship Id="rId9" Type="http://schemas.openxmlformats.org/officeDocument/2006/relationships/chart" Target="../charts/chart9.xml"/></Relationships>
</file>

<file path=xl/drawings/_rels/drawing4.xml.rels><?xml version="1.0" encoding="UTF-8" standalone="yes"?>
<Relationships xmlns="http://schemas.openxmlformats.org/package/2006/relationships"><Relationship Id="rId8" Type="http://schemas.microsoft.com/office/2014/relationships/chartEx" Target="../charts/chartEx4.xml"/><Relationship Id="rId3" Type="http://schemas.openxmlformats.org/officeDocument/2006/relationships/image" Target="../media/image2.svg"/><Relationship Id="rId7" Type="http://schemas.openxmlformats.org/officeDocument/2006/relationships/hyperlink" Target="#DASHBOARD!A1"/><Relationship Id="rId2" Type="http://schemas.openxmlformats.org/officeDocument/2006/relationships/image" Target="../media/image1.png"/><Relationship Id="rId1" Type="http://schemas.openxmlformats.org/officeDocument/2006/relationships/hyperlink" Target="#CUSTOMER!A1"/><Relationship Id="rId6" Type="http://schemas.openxmlformats.org/officeDocument/2006/relationships/hyperlink" Target="#STATE!A1"/><Relationship Id="rId5" Type="http://schemas.openxmlformats.org/officeDocument/2006/relationships/hyperlink" Target="#CITIES!A1"/><Relationship Id="rId4" Type="http://schemas.openxmlformats.org/officeDocument/2006/relationships/hyperlink" Target="#ORDER!A1"/><Relationship Id="rId9" Type="http://schemas.openxmlformats.org/officeDocument/2006/relationships/chart" Target="../charts/chart10.xml"/></Relationships>
</file>

<file path=xl/drawings/_rels/drawing5.xml.rels><?xml version="1.0" encoding="UTF-8" standalone="yes"?>
<Relationships xmlns="http://schemas.openxmlformats.org/package/2006/relationships"><Relationship Id="rId8" Type="http://schemas.openxmlformats.org/officeDocument/2006/relationships/chart" Target="../charts/chart11.xml"/><Relationship Id="rId3" Type="http://schemas.openxmlformats.org/officeDocument/2006/relationships/image" Target="../media/image2.svg"/><Relationship Id="rId7" Type="http://schemas.openxmlformats.org/officeDocument/2006/relationships/hyperlink" Target="#DASHBOARD!A1"/><Relationship Id="rId2" Type="http://schemas.openxmlformats.org/officeDocument/2006/relationships/image" Target="../media/image1.png"/><Relationship Id="rId1" Type="http://schemas.openxmlformats.org/officeDocument/2006/relationships/hyperlink" Target="#CITIES!A1"/><Relationship Id="rId6" Type="http://schemas.openxmlformats.org/officeDocument/2006/relationships/hyperlink" Target="#CUSTOMER!A1"/><Relationship Id="rId5" Type="http://schemas.openxmlformats.org/officeDocument/2006/relationships/hyperlink" Target="#ORDER!A1"/><Relationship Id="rId4" Type="http://schemas.openxmlformats.org/officeDocument/2006/relationships/hyperlink" Target="#STATE!A1"/><Relationship Id="rId9" Type="http://schemas.microsoft.com/office/2014/relationships/chartEx" Target="../charts/chartEx5.xml"/></Relationships>
</file>

<file path=xl/drawings/_rels/drawing6.xml.rels><?xml version="1.0" encoding="UTF-8" standalone="yes"?>
<Relationships xmlns="http://schemas.openxmlformats.org/package/2006/relationships"><Relationship Id="rId8" Type="http://schemas.openxmlformats.org/officeDocument/2006/relationships/chart" Target="../charts/chart12.xml"/><Relationship Id="rId3" Type="http://schemas.openxmlformats.org/officeDocument/2006/relationships/image" Target="../media/image2.svg"/><Relationship Id="rId7" Type="http://schemas.openxmlformats.org/officeDocument/2006/relationships/hyperlink" Target="#DASHBOARD!A1"/><Relationship Id="rId2" Type="http://schemas.openxmlformats.org/officeDocument/2006/relationships/image" Target="../media/image1.png"/><Relationship Id="rId1" Type="http://schemas.openxmlformats.org/officeDocument/2006/relationships/hyperlink" Target="#STATE!A1"/><Relationship Id="rId6" Type="http://schemas.openxmlformats.org/officeDocument/2006/relationships/hyperlink" Target="#CUSTOMER!A1"/><Relationship Id="rId5" Type="http://schemas.openxmlformats.org/officeDocument/2006/relationships/hyperlink" Target="#ORDER!A1"/><Relationship Id="rId4" Type="http://schemas.openxmlformats.org/officeDocument/2006/relationships/hyperlink" Target="#CITIES!A1"/><Relationship Id="rId9"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xdr:from>
      <xdr:col>16</xdr:col>
      <xdr:colOff>327660</xdr:colOff>
      <xdr:row>2</xdr:row>
      <xdr:rowOff>26670</xdr:rowOff>
    </xdr:from>
    <xdr:to>
      <xdr:col>21</xdr:col>
      <xdr:colOff>198120</xdr:colOff>
      <xdr:row>10</xdr:row>
      <xdr:rowOff>76200</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412C9FD9-E7DE-4781-B826-4E028CD36E2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2466320" y="392430"/>
              <a:ext cx="2918460" cy="151257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20</xdr:col>
      <xdr:colOff>151814</xdr:colOff>
      <xdr:row>63</xdr:row>
      <xdr:rowOff>166761</xdr:rowOff>
    </xdr:from>
    <xdr:to>
      <xdr:col>25</xdr:col>
      <xdr:colOff>334694</xdr:colOff>
      <xdr:row>74</xdr:row>
      <xdr:rowOff>89682</xdr:rowOff>
    </xdr:to>
    <xdr:graphicFrame macro="">
      <xdr:nvGraphicFramePr>
        <xdr:cNvPr id="7" name="Chart 6">
          <a:extLst>
            <a:ext uri="{FF2B5EF4-FFF2-40B4-BE49-F238E27FC236}">
              <a16:creationId xmlns:a16="http://schemas.microsoft.com/office/drawing/2014/main" id="{C19E32AF-2776-4CC6-A2C8-6864CE802F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22</xdr:col>
      <xdr:colOff>332668</xdr:colOff>
      <xdr:row>5</xdr:row>
      <xdr:rowOff>175504</xdr:rowOff>
    </xdr:from>
    <xdr:to>
      <xdr:col>41</xdr:col>
      <xdr:colOff>521982</xdr:colOff>
      <xdr:row>13</xdr:row>
      <xdr:rowOff>54010</xdr:rowOff>
    </xdr:to>
    <mc:AlternateContent xmlns:mc="http://schemas.openxmlformats.org/markup-compatibility/2006" xmlns:tsle="http://schemas.microsoft.com/office/drawing/2012/timeslicer">
      <mc:Choice Requires="tsle">
        <xdr:graphicFrame macro="">
          <xdr:nvGraphicFramePr>
            <xdr:cNvPr id="10" name="Order Date">
              <a:extLst>
                <a:ext uri="{FF2B5EF4-FFF2-40B4-BE49-F238E27FC236}">
                  <a16:creationId xmlns:a16="http://schemas.microsoft.com/office/drawing/2014/main" id="{BB7D4A17-A237-4C07-A301-D7D70E69D7A8}"/>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16074895" y="1084709"/>
              <a:ext cx="11705905" cy="1333233"/>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32</xdr:col>
      <xdr:colOff>12309</xdr:colOff>
      <xdr:row>16</xdr:row>
      <xdr:rowOff>127195</xdr:rowOff>
    </xdr:from>
    <xdr:to>
      <xdr:col>35</xdr:col>
      <xdr:colOff>12309</xdr:colOff>
      <xdr:row>29</xdr:row>
      <xdr:rowOff>155770</xdr:rowOff>
    </xdr:to>
    <mc:AlternateContent xmlns:mc="http://schemas.openxmlformats.org/markup-compatibility/2006" xmlns:a14="http://schemas.microsoft.com/office/drawing/2010/main">
      <mc:Choice Requires="a14">
        <xdr:graphicFrame macro="">
          <xdr:nvGraphicFramePr>
            <xdr:cNvPr id="11" name="CustomerName">
              <a:extLst>
                <a:ext uri="{FF2B5EF4-FFF2-40B4-BE49-F238E27FC236}">
                  <a16:creationId xmlns:a16="http://schemas.microsoft.com/office/drawing/2014/main" id="{05840B62-C82B-42DC-ACDC-FDE91EF3A9C0}"/>
                </a:ext>
              </a:extLst>
            </xdr:cNvPr>
            <xdr:cNvGraphicFramePr/>
          </xdr:nvGraphicFramePr>
          <xdr:xfrm>
            <a:off x="0" y="0"/>
            <a:ext cx="0" cy="0"/>
          </xdr:xfrm>
          <a:graphic>
            <a:graphicData uri="http://schemas.microsoft.com/office/drawing/2010/slicer">
              <sle:slicer xmlns:sle="http://schemas.microsoft.com/office/drawing/2010/slicer" name="CustomerName"/>
            </a:graphicData>
          </a:graphic>
        </xdr:graphicFrame>
      </mc:Choice>
      <mc:Fallback xmlns="">
        <xdr:sp macro="" textlink="">
          <xdr:nvSpPr>
            <xdr:cNvPr id="0" name=""/>
            <xdr:cNvSpPr>
              <a:spLocks noTextEdit="1"/>
            </xdr:cNvSpPr>
          </xdr:nvSpPr>
          <xdr:spPr>
            <a:xfrm>
              <a:off x="21815900" y="3036650"/>
              <a:ext cx="1818409" cy="239250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28</xdr:col>
      <xdr:colOff>199292</xdr:colOff>
      <xdr:row>16</xdr:row>
      <xdr:rowOff>138332</xdr:rowOff>
    </xdr:from>
    <xdr:to>
      <xdr:col>31</xdr:col>
      <xdr:colOff>199293</xdr:colOff>
      <xdr:row>29</xdr:row>
      <xdr:rowOff>166907</xdr:rowOff>
    </xdr:to>
    <mc:AlternateContent xmlns:mc="http://schemas.openxmlformats.org/markup-compatibility/2006" xmlns:a14="http://schemas.microsoft.com/office/drawing/2010/main">
      <mc:Choice Requires="a14">
        <xdr:graphicFrame macro="">
          <xdr:nvGraphicFramePr>
            <xdr:cNvPr id="12" name="State">
              <a:extLst>
                <a:ext uri="{FF2B5EF4-FFF2-40B4-BE49-F238E27FC236}">
                  <a16:creationId xmlns:a16="http://schemas.microsoft.com/office/drawing/2014/main" id="{4640EABA-24A8-41BC-81F5-C6688C5BDD76}"/>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19578337" y="3047787"/>
              <a:ext cx="1818411" cy="239250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104921</xdr:colOff>
      <xdr:row>16</xdr:row>
      <xdr:rowOff>79130</xdr:rowOff>
    </xdr:from>
    <xdr:to>
      <xdr:col>28</xdr:col>
      <xdr:colOff>104921</xdr:colOff>
      <xdr:row>29</xdr:row>
      <xdr:rowOff>107705</xdr:rowOff>
    </xdr:to>
    <mc:AlternateContent xmlns:mc="http://schemas.openxmlformats.org/markup-compatibility/2006" xmlns:a14="http://schemas.microsoft.com/office/drawing/2010/main">
      <mc:Choice Requires="a14">
        <xdr:graphicFrame macro="">
          <xdr:nvGraphicFramePr>
            <xdr:cNvPr id="13" name="City">
              <a:extLst>
                <a:ext uri="{FF2B5EF4-FFF2-40B4-BE49-F238E27FC236}">
                  <a16:creationId xmlns:a16="http://schemas.microsoft.com/office/drawing/2014/main" id="{23DD40E2-A9F7-4C56-821F-6B62A45580B5}"/>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7665557" y="2988585"/>
              <a:ext cx="1818409" cy="239250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264459</xdr:colOff>
      <xdr:row>38</xdr:row>
      <xdr:rowOff>107576</xdr:rowOff>
    </xdr:from>
    <xdr:to>
      <xdr:col>7</xdr:col>
      <xdr:colOff>125505</xdr:colOff>
      <xdr:row>53</xdr:row>
      <xdr:rowOff>44823</xdr:rowOff>
    </xdr:to>
    <xdr:graphicFrame macro="">
      <xdr:nvGraphicFramePr>
        <xdr:cNvPr id="14" name="Chart 13">
          <a:extLst>
            <a:ext uri="{FF2B5EF4-FFF2-40B4-BE49-F238E27FC236}">
              <a16:creationId xmlns:a16="http://schemas.microsoft.com/office/drawing/2014/main" id="{3E535DF9-9D71-BF45-2E6C-F0808DCB6B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354106</xdr:colOff>
      <xdr:row>1</xdr:row>
      <xdr:rowOff>152401</xdr:rowOff>
    </xdr:from>
    <xdr:to>
      <xdr:col>6</xdr:col>
      <xdr:colOff>242047</xdr:colOff>
      <xdr:row>14</xdr:row>
      <xdr:rowOff>62753</xdr:rowOff>
    </xdr:to>
    <xdr:graphicFrame macro="">
      <xdr:nvGraphicFramePr>
        <xdr:cNvPr id="15" name="Chart 14">
          <a:extLst>
            <a:ext uri="{FF2B5EF4-FFF2-40B4-BE49-F238E27FC236}">
              <a16:creationId xmlns:a16="http://schemas.microsoft.com/office/drawing/2014/main" id="{5C6CD89B-9FB6-8A42-A32D-72D3421215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461683</xdr:colOff>
      <xdr:row>68</xdr:row>
      <xdr:rowOff>170330</xdr:rowOff>
    </xdr:from>
    <xdr:to>
      <xdr:col>6</xdr:col>
      <xdr:colOff>98612</xdr:colOff>
      <xdr:row>78</xdr:row>
      <xdr:rowOff>80682</xdr:rowOff>
    </xdr:to>
    <xdr:graphicFrame macro="">
      <xdr:nvGraphicFramePr>
        <xdr:cNvPr id="16" name="Chart 15">
          <a:extLst>
            <a:ext uri="{FF2B5EF4-FFF2-40B4-BE49-F238E27FC236}">
              <a16:creationId xmlns:a16="http://schemas.microsoft.com/office/drawing/2014/main" id="{67F436AB-628F-E427-F922-6411CB13ED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273423</xdr:colOff>
      <xdr:row>89</xdr:row>
      <xdr:rowOff>26895</xdr:rowOff>
    </xdr:from>
    <xdr:to>
      <xdr:col>9</xdr:col>
      <xdr:colOff>340659</xdr:colOff>
      <xdr:row>96</xdr:row>
      <xdr:rowOff>89648</xdr:rowOff>
    </xdr:to>
    <mc:AlternateContent xmlns:mc="http://schemas.openxmlformats.org/markup-compatibility/2006">
      <mc:Choice xmlns:cx1="http://schemas.microsoft.com/office/drawing/2015/9/8/chartex" Requires="cx1">
        <xdr:graphicFrame macro="">
          <xdr:nvGraphicFramePr>
            <xdr:cNvPr id="17" name="Chart 16">
              <a:extLst>
                <a:ext uri="{FF2B5EF4-FFF2-40B4-BE49-F238E27FC236}">
                  <a16:creationId xmlns:a16="http://schemas.microsoft.com/office/drawing/2014/main" id="{D76090D7-D89D-5163-19B9-2BD00D3EF62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5195047" y="15984071"/>
              <a:ext cx="2505636" cy="1317812"/>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31377</xdr:colOff>
      <xdr:row>87</xdr:row>
      <xdr:rowOff>89647</xdr:rowOff>
    </xdr:from>
    <xdr:to>
      <xdr:col>22</xdr:col>
      <xdr:colOff>336177</xdr:colOff>
      <xdr:row>102</xdr:row>
      <xdr:rowOff>143435</xdr:rowOff>
    </xdr:to>
    <xdr:graphicFrame macro="">
      <xdr:nvGraphicFramePr>
        <xdr:cNvPr id="18" name="Chart 17">
          <a:extLst>
            <a:ext uri="{FF2B5EF4-FFF2-40B4-BE49-F238E27FC236}">
              <a16:creationId xmlns:a16="http://schemas.microsoft.com/office/drawing/2014/main" id="{82901B80-4CB9-5A98-9B9F-AB9022CDFF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13</xdr:col>
      <xdr:colOff>252046</xdr:colOff>
      <xdr:row>70</xdr:row>
      <xdr:rowOff>134815</xdr:rowOff>
    </xdr:from>
    <xdr:to>
      <xdr:col>20</xdr:col>
      <xdr:colOff>76200</xdr:colOff>
      <xdr:row>85</xdr:row>
      <xdr:rowOff>64476</xdr:rowOff>
    </xdr:to>
    <xdr:graphicFrame macro="">
      <xdr:nvGraphicFramePr>
        <xdr:cNvPr id="19" name="Chart 18">
          <a:extLst>
            <a:ext uri="{FF2B5EF4-FFF2-40B4-BE49-F238E27FC236}">
              <a16:creationId xmlns:a16="http://schemas.microsoft.com/office/drawing/2014/main" id="{72563E5E-1258-66E9-4250-3CBFD54B8A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10</xdr:col>
      <xdr:colOff>592016</xdr:colOff>
      <xdr:row>12</xdr:row>
      <xdr:rowOff>64477</xdr:rowOff>
    </xdr:from>
    <xdr:to>
      <xdr:col>16</xdr:col>
      <xdr:colOff>181708</xdr:colOff>
      <xdr:row>26</xdr:row>
      <xdr:rowOff>181708</xdr:rowOff>
    </xdr:to>
    <mc:AlternateContent xmlns:mc="http://schemas.openxmlformats.org/markup-compatibility/2006">
      <mc:Choice xmlns:cx1="http://schemas.microsoft.com/office/drawing/2015/9/8/chartex" Requires="cx1">
        <xdr:graphicFrame macro="">
          <xdr:nvGraphicFramePr>
            <xdr:cNvPr id="20" name="Chart 19">
              <a:extLst>
                <a:ext uri="{FF2B5EF4-FFF2-40B4-BE49-F238E27FC236}">
                  <a16:creationId xmlns:a16="http://schemas.microsoft.com/office/drawing/2014/main" id="{0EA84873-1B81-0471-DDE3-D946A8C5B1B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9"/>
            </a:graphicData>
          </a:graphic>
        </xdr:graphicFrame>
      </mc:Choice>
      <mc:Fallback>
        <xdr:sp macro="" textlink="">
          <xdr:nvSpPr>
            <xdr:cNvPr id="0" name=""/>
            <xdr:cNvSpPr>
              <a:spLocks noTextEdit="1"/>
            </xdr:cNvSpPr>
          </xdr:nvSpPr>
          <xdr:spPr>
            <a:xfrm>
              <a:off x="8118231" y="2315308"/>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13</xdr:col>
      <xdr:colOff>381000</xdr:colOff>
      <xdr:row>36</xdr:row>
      <xdr:rowOff>169985</xdr:rowOff>
    </xdr:from>
    <xdr:to>
      <xdr:col>20</xdr:col>
      <xdr:colOff>205154</xdr:colOff>
      <xdr:row>51</xdr:row>
      <xdr:rowOff>99646</xdr:rowOff>
    </xdr:to>
    <xdr:graphicFrame macro="">
      <xdr:nvGraphicFramePr>
        <xdr:cNvPr id="21" name="Chart 20">
          <a:extLst>
            <a:ext uri="{FF2B5EF4-FFF2-40B4-BE49-F238E27FC236}">
              <a16:creationId xmlns:a16="http://schemas.microsoft.com/office/drawing/2014/main" id="{6DD1C977-3BE8-0543-FAAD-A0D907BF85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115455</xdr:colOff>
      <xdr:row>0</xdr:row>
      <xdr:rowOff>130848</xdr:rowOff>
    </xdr:from>
    <xdr:to>
      <xdr:col>18</xdr:col>
      <xdr:colOff>215515</xdr:colOff>
      <xdr:row>26</xdr:row>
      <xdr:rowOff>161636</xdr:rowOff>
    </xdr:to>
    <xdr:sp macro="" textlink="">
      <xdr:nvSpPr>
        <xdr:cNvPr id="2" name="Rectangle: Rounded Corners 1">
          <a:extLst>
            <a:ext uri="{FF2B5EF4-FFF2-40B4-BE49-F238E27FC236}">
              <a16:creationId xmlns:a16="http://schemas.microsoft.com/office/drawing/2014/main" id="{CA8C4DAE-23D8-449F-B472-BB5FF36D7539}"/>
            </a:ext>
          </a:extLst>
        </xdr:cNvPr>
        <xdr:cNvSpPr/>
      </xdr:nvSpPr>
      <xdr:spPr>
        <a:xfrm>
          <a:off x="1334655" y="130848"/>
          <a:ext cx="9853660" cy="4785668"/>
        </a:xfrm>
        <a:prstGeom prst="roundRect">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7697</xdr:colOff>
      <xdr:row>0</xdr:row>
      <xdr:rowOff>146242</xdr:rowOff>
    </xdr:from>
    <xdr:to>
      <xdr:col>18</xdr:col>
      <xdr:colOff>215515</xdr:colOff>
      <xdr:row>26</xdr:row>
      <xdr:rowOff>146243</xdr:rowOff>
    </xdr:to>
    <xdr:sp macro="" textlink="">
      <xdr:nvSpPr>
        <xdr:cNvPr id="3" name="Rectangle: Rounded Corners 2">
          <a:extLst>
            <a:ext uri="{FF2B5EF4-FFF2-40B4-BE49-F238E27FC236}">
              <a16:creationId xmlns:a16="http://schemas.microsoft.com/office/drawing/2014/main" id="{D5C3D5B3-1069-4E31-A704-3CBA6D5063FB}"/>
            </a:ext>
          </a:extLst>
        </xdr:cNvPr>
        <xdr:cNvSpPr/>
      </xdr:nvSpPr>
      <xdr:spPr>
        <a:xfrm>
          <a:off x="3055697" y="146242"/>
          <a:ext cx="8132618" cy="4754881"/>
        </a:xfrm>
        <a:prstGeom prst="roundRect">
          <a:avLst/>
        </a:prstGeom>
        <a:gradFill flip="none" rotWithShape="1">
          <a:gsLst>
            <a:gs pos="0">
              <a:schemeClr val="accent6">
                <a:lumMod val="40000"/>
                <a:lumOff val="60000"/>
                <a:shade val="30000"/>
                <a:satMod val="115000"/>
              </a:schemeClr>
            </a:gs>
            <a:gs pos="50000">
              <a:schemeClr val="accent6">
                <a:lumMod val="40000"/>
                <a:lumOff val="60000"/>
                <a:shade val="67500"/>
                <a:satMod val="115000"/>
              </a:schemeClr>
            </a:gs>
            <a:gs pos="100000">
              <a:schemeClr val="accent6">
                <a:lumMod val="40000"/>
                <a:lumOff val="60000"/>
                <a:shade val="100000"/>
                <a:satMod val="115000"/>
              </a:schemeClr>
            </a:gs>
          </a:gsLst>
          <a:lin ang="13500000" scaled="1"/>
          <a:tileRect/>
        </a:gradFill>
        <a:ln>
          <a:solidFill>
            <a:schemeClr val="accent1"/>
          </a:solid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438728</xdr:colOff>
      <xdr:row>2</xdr:row>
      <xdr:rowOff>92363</xdr:rowOff>
    </xdr:from>
    <xdr:to>
      <xdr:col>14</xdr:col>
      <xdr:colOff>592667</xdr:colOff>
      <xdr:row>6</xdr:row>
      <xdr:rowOff>0</xdr:rowOff>
    </xdr:to>
    <xdr:sp macro="" textlink="">
      <xdr:nvSpPr>
        <xdr:cNvPr id="4" name="TextBox 3">
          <a:extLst>
            <a:ext uri="{FF2B5EF4-FFF2-40B4-BE49-F238E27FC236}">
              <a16:creationId xmlns:a16="http://schemas.microsoft.com/office/drawing/2014/main" id="{8C21C933-4132-4E53-9BF5-DF52BD690442}"/>
            </a:ext>
          </a:extLst>
        </xdr:cNvPr>
        <xdr:cNvSpPr txBox="1"/>
      </xdr:nvSpPr>
      <xdr:spPr>
        <a:xfrm>
          <a:off x="4705928" y="458123"/>
          <a:ext cx="4421139" cy="63915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3200" b="1"/>
            <a:t>DASHBOARD</a:t>
          </a:r>
        </a:p>
      </xdr:txBody>
    </xdr:sp>
    <xdr:clientData/>
  </xdr:twoCellAnchor>
  <xdr:twoCellAnchor editAs="oneCell">
    <xdr:from>
      <xdr:col>5</xdr:col>
      <xdr:colOff>346363</xdr:colOff>
      <xdr:row>7</xdr:row>
      <xdr:rowOff>61576</xdr:rowOff>
    </xdr:from>
    <xdr:to>
      <xdr:col>6</xdr:col>
      <xdr:colOff>523393</xdr:colOff>
      <xdr:row>11</xdr:row>
      <xdr:rowOff>23091</xdr:rowOff>
    </xdr:to>
    <xdr:pic>
      <xdr:nvPicPr>
        <xdr:cNvPr id="5" name="Graphic 4" descr="Bar chart with solid fill">
          <a:extLst>
            <a:ext uri="{FF2B5EF4-FFF2-40B4-BE49-F238E27FC236}">
              <a16:creationId xmlns:a16="http://schemas.microsoft.com/office/drawing/2014/main" id="{588DBD1F-A871-4F2F-902D-571F1A27B95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394363" y="1341736"/>
          <a:ext cx="786630" cy="693035"/>
        </a:xfrm>
        <a:prstGeom prst="rect">
          <a:avLst/>
        </a:prstGeom>
      </xdr:spPr>
    </xdr:pic>
    <xdr:clientData/>
  </xdr:twoCellAnchor>
  <xdr:twoCellAnchor>
    <xdr:from>
      <xdr:col>7</xdr:col>
      <xdr:colOff>61576</xdr:colOff>
      <xdr:row>8</xdr:row>
      <xdr:rowOff>7697</xdr:rowOff>
    </xdr:from>
    <xdr:to>
      <xdr:col>10</xdr:col>
      <xdr:colOff>523394</xdr:colOff>
      <xdr:row>10</xdr:row>
      <xdr:rowOff>107757</xdr:rowOff>
    </xdr:to>
    <xdr:sp macro="" textlink="">
      <xdr:nvSpPr>
        <xdr:cNvPr id="6" name="TextBox 5">
          <a:extLst>
            <a:ext uri="{FF2B5EF4-FFF2-40B4-BE49-F238E27FC236}">
              <a16:creationId xmlns:a16="http://schemas.microsoft.com/office/drawing/2014/main" id="{C8510384-1E9E-4CC1-B009-3C42E0E1A3AA}"/>
            </a:ext>
          </a:extLst>
        </xdr:cNvPr>
        <xdr:cNvSpPr txBox="1"/>
      </xdr:nvSpPr>
      <xdr:spPr>
        <a:xfrm>
          <a:off x="4328776" y="1470737"/>
          <a:ext cx="2290618" cy="46582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t>ANALYTICS</a:t>
          </a:r>
        </a:p>
      </xdr:txBody>
    </xdr:sp>
    <xdr:clientData/>
  </xdr:twoCellAnchor>
  <xdr:twoCellAnchor>
    <xdr:from>
      <xdr:col>6</xdr:col>
      <xdr:colOff>369454</xdr:colOff>
      <xdr:row>11</xdr:row>
      <xdr:rowOff>38485</xdr:rowOff>
    </xdr:from>
    <xdr:to>
      <xdr:col>10</xdr:col>
      <xdr:colOff>369454</xdr:colOff>
      <xdr:row>19</xdr:row>
      <xdr:rowOff>92364</xdr:rowOff>
    </xdr:to>
    <xdr:sp macro="" textlink="">
      <xdr:nvSpPr>
        <xdr:cNvPr id="7" name="Flowchart: Punched Tape 6">
          <a:hlinkClick xmlns:r="http://schemas.openxmlformats.org/officeDocument/2006/relationships" r:id="rId3"/>
          <a:extLst>
            <a:ext uri="{FF2B5EF4-FFF2-40B4-BE49-F238E27FC236}">
              <a16:creationId xmlns:a16="http://schemas.microsoft.com/office/drawing/2014/main" id="{14F1EDC3-6021-4256-B8E2-C1537733ADA5}"/>
            </a:ext>
          </a:extLst>
        </xdr:cNvPr>
        <xdr:cNvSpPr/>
      </xdr:nvSpPr>
      <xdr:spPr>
        <a:xfrm>
          <a:off x="4027054" y="2050165"/>
          <a:ext cx="2438400" cy="1516919"/>
        </a:xfrm>
        <a:prstGeom prst="flowChartPunchedTap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b="1"/>
            <a:t>ORDER</a:t>
          </a:r>
          <a:endParaRPr lang="en-US" sz="1050" b="1"/>
        </a:p>
      </xdr:txBody>
    </xdr:sp>
    <xdr:clientData/>
  </xdr:twoCellAnchor>
  <xdr:twoCellAnchor>
    <xdr:from>
      <xdr:col>12</xdr:col>
      <xdr:colOff>498763</xdr:colOff>
      <xdr:row>10</xdr:row>
      <xdr:rowOff>129308</xdr:rowOff>
    </xdr:from>
    <xdr:to>
      <xdr:col>16</xdr:col>
      <xdr:colOff>498762</xdr:colOff>
      <xdr:row>17</xdr:row>
      <xdr:rowOff>167792</xdr:rowOff>
    </xdr:to>
    <xdr:sp macro="" textlink="">
      <xdr:nvSpPr>
        <xdr:cNvPr id="8" name="Flowchart: Punched Tape 7">
          <a:hlinkClick xmlns:r="http://schemas.openxmlformats.org/officeDocument/2006/relationships" r:id="rId4"/>
          <a:extLst>
            <a:ext uri="{FF2B5EF4-FFF2-40B4-BE49-F238E27FC236}">
              <a16:creationId xmlns:a16="http://schemas.microsoft.com/office/drawing/2014/main" id="{745A7AE0-851F-4E22-812D-5A7A347140D6}"/>
            </a:ext>
          </a:extLst>
        </xdr:cNvPr>
        <xdr:cNvSpPr/>
      </xdr:nvSpPr>
      <xdr:spPr>
        <a:xfrm>
          <a:off x="7813963" y="1958108"/>
          <a:ext cx="2438399" cy="1318644"/>
        </a:xfrm>
        <a:prstGeom prst="flowChartPunchedTap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b="1"/>
            <a:t>CUSTOMER</a:t>
          </a:r>
          <a:endParaRPr lang="en-US" sz="1100" b="1"/>
        </a:p>
      </xdr:txBody>
    </xdr:sp>
    <xdr:clientData/>
  </xdr:twoCellAnchor>
  <xdr:twoCellAnchor>
    <xdr:from>
      <xdr:col>6</xdr:col>
      <xdr:colOff>381766</xdr:colOff>
      <xdr:row>19</xdr:row>
      <xdr:rowOff>81588</xdr:rowOff>
    </xdr:from>
    <xdr:to>
      <xdr:col>10</xdr:col>
      <xdr:colOff>381766</xdr:colOff>
      <xdr:row>26</xdr:row>
      <xdr:rowOff>120072</xdr:rowOff>
    </xdr:to>
    <xdr:sp macro="" textlink="">
      <xdr:nvSpPr>
        <xdr:cNvPr id="9" name="Flowchart: Punched Tape 8">
          <a:hlinkClick xmlns:r="http://schemas.openxmlformats.org/officeDocument/2006/relationships" r:id="rId5"/>
          <a:extLst>
            <a:ext uri="{FF2B5EF4-FFF2-40B4-BE49-F238E27FC236}">
              <a16:creationId xmlns:a16="http://schemas.microsoft.com/office/drawing/2014/main" id="{9CCD1924-79D0-4F9A-83BB-5087D7CDE04A}"/>
            </a:ext>
          </a:extLst>
        </xdr:cNvPr>
        <xdr:cNvSpPr/>
      </xdr:nvSpPr>
      <xdr:spPr>
        <a:xfrm>
          <a:off x="4039366" y="3556308"/>
          <a:ext cx="2438400" cy="1318644"/>
        </a:xfrm>
        <a:prstGeom prst="flowChartPunchedTap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b="1"/>
            <a:t>CITIES</a:t>
          </a:r>
        </a:p>
      </xdr:txBody>
    </xdr:sp>
    <xdr:clientData/>
  </xdr:twoCellAnchor>
  <xdr:twoCellAnchor>
    <xdr:from>
      <xdr:col>12</xdr:col>
      <xdr:colOff>523394</xdr:colOff>
      <xdr:row>19</xdr:row>
      <xdr:rowOff>18473</xdr:rowOff>
    </xdr:from>
    <xdr:to>
      <xdr:col>16</xdr:col>
      <xdr:colOff>538787</xdr:colOff>
      <xdr:row>26</xdr:row>
      <xdr:rowOff>56957</xdr:rowOff>
    </xdr:to>
    <xdr:sp macro="" textlink="">
      <xdr:nvSpPr>
        <xdr:cNvPr id="10" name="Flowchart: Punched Tape 9">
          <a:hlinkClick xmlns:r="http://schemas.openxmlformats.org/officeDocument/2006/relationships" r:id="rId6"/>
          <a:extLst>
            <a:ext uri="{FF2B5EF4-FFF2-40B4-BE49-F238E27FC236}">
              <a16:creationId xmlns:a16="http://schemas.microsoft.com/office/drawing/2014/main" id="{AD51BBD1-427D-4E89-A26C-609AED1FCE25}"/>
            </a:ext>
          </a:extLst>
        </xdr:cNvPr>
        <xdr:cNvSpPr/>
      </xdr:nvSpPr>
      <xdr:spPr>
        <a:xfrm>
          <a:off x="7838594" y="3493193"/>
          <a:ext cx="2453793" cy="1318644"/>
        </a:xfrm>
        <a:prstGeom prst="flowChartPunchedTap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b="1"/>
            <a:t>STATES</a:t>
          </a:r>
          <a:endParaRPr lang="en-US" sz="1100" b="1"/>
        </a:p>
      </xdr:txBody>
    </xdr:sp>
    <xdr:clientData/>
  </xdr:twoCellAnchor>
  <xdr:twoCellAnchor>
    <xdr:from>
      <xdr:col>7</xdr:col>
      <xdr:colOff>531091</xdr:colOff>
      <xdr:row>15</xdr:row>
      <xdr:rowOff>15394</xdr:rowOff>
    </xdr:from>
    <xdr:to>
      <xdr:col>9</xdr:col>
      <xdr:colOff>392545</xdr:colOff>
      <xdr:row>17</xdr:row>
      <xdr:rowOff>115455</xdr:rowOff>
    </xdr:to>
    <xdr:sp macro="" textlink="[1]Sheet11!C81">
      <xdr:nvSpPr>
        <xdr:cNvPr id="11" name="TextBox 10">
          <a:extLst>
            <a:ext uri="{FF2B5EF4-FFF2-40B4-BE49-F238E27FC236}">
              <a16:creationId xmlns:a16="http://schemas.microsoft.com/office/drawing/2014/main" id="{336D3339-46C5-46D0-A718-C227C9581AFD}"/>
            </a:ext>
          </a:extLst>
        </xdr:cNvPr>
        <xdr:cNvSpPr txBox="1"/>
      </xdr:nvSpPr>
      <xdr:spPr>
        <a:xfrm>
          <a:off x="4798291" y="2758594"/>
          <a:ext cx="1080654" cy="4658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080549D-D07E-47EC-9D2F-462F5344F867}" type="TxLink">
            <a:rPr lang="en-US" sz="3200" b="1" i="0" u="none" strike="noStrike">
              <a:solidFill>
                <a:schemeClr val="accent2"/>
              </a:solidFill>
              <a:latin typeface="Calibri"/>
              <a:ea typeface="Calibri"/>
              <a:cs typeface="Calibri"/>
            </a:rPr>
            <a:pPr/>
            <a:t>500</a:t>
          </a:fld>
          <a:endParaRPr lang="en-US" sz="1100" b="1">
            <a:solidFill>
              <a:schemeClr val="accent2"/>
            </a:solidFill>
          </a:endParaRPr>
        </a:p>
      </xdr:txBody>
    </xdr:sp>
    <xdr:clientData/>
  </xdr:twoCellAnchor>
  <xdr:twoCellAnchor>
    <xdr:from>
      <xdr:col>13</xdr:col>
      <xdr:colOff>492606</xdr:colOff>
      <xdr:row>14</xdr:row>
      <xdr:rowOff>38485</xdr:rowOff>
    </xdr:from>
    <xdr:to>
      <xdr:col>15</xdr:col>
      <xdr:colOff>469515</xdr:colOff>
      <xdr:row>16</xdr:row>
      <xdr:rowOff>76971</xdr:rowOff>
    </xdr:to>
    <xdr:sp macro="" textlink="[1]Sheet11!C170">
      <xdr:nvSpPr>
        <xdr:cNvPr id="12" name="TextBox 11">
          <a:extLst>
            <a:ext uri="{FF2B5EF4-FFF2-40B4-BE49-F238E27FC236}">
              <a16:creationId xmlns:a16="http://schemas.microsoft.com/office/drawing/2014/main" id="{02A6CEAB-544F-4894-9759-3A9C8243120F}"/>
            </a:ext>
          </a:extLst>
        </xdr:cNvPr>
        <xdr:cNvSpPr txBox="1"/>
      </xdr:nvSpPr>
      <xdr:spPr>
        <a:xfrm>
          <a:off x="8417406" y="2598805"/>
          <a:ext cx="1196109" cy="4042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AF2B247-031A-4DB9-8030-12EE0AF93B83}" type="TxLink">
            <a:rPr lang="en-US" sz="2800" b="1" i="0" u="none" strike="noStrike">
              <a:solidFill>
                <a:schemeClr val="accent2"/>
              </a:solidFill>
              <a:latin typeface="Calibri"/>
              <a:ea typeface="Calibri"/>
              <a:cs typeface="Calibri"/>
            </a:rPr>
            <a:pPr algn="ctr"/>
            <a:t>336</a:t>
          </a:fld>
          <a:endParaRPr lang="en-US" sz="1100" b="1">
            <a:solidFill>
              <a:schemeClr val="accent2"/>
            </a:solidFill>
          </a:endParaRPr>
        </a:p>
      </xdr:txBody>
    </xdr:sp>
    <xdr:clientData/>
  </xdr:twoCellAnchor>
  <xdr:twoCellAnchor>
    <xdr:from>
      <xdr:col>7</xdr:col>
      <xdr:colOff>184728</xdr:colOff>
      <xdr:row>23</xdr:row>
      <xdr:rowOff>23091</xdr:rowOff>
    </xdr:from>
    <xdr:to>
      <xdr:col>9</xdr:col>
      <xdr:colOff>500304</xdr:colOff>
      <xdr:row>25</xdr:row>
      <xdr:rowOff>92363</xdr:rowOff>
    </xdr:to>
    <xdr:sp macro="" textlink="[1]Sheet11!C31">
      <xdr:nvSpPr>
        <xdr:cNvPr id="13" name="TextBox 12">
          <a:extLst>
            <a:ext uri="{FF2B5EF4-FFF2-40B4-BE49-F238E27FC236}">
              <a16:creationId xmlns:a16="http://schemas.microsoft.com/office/drawing/2014/main" id="{7A0D5873-4945-4BCE-9F1F-F868F98F9786}"/>
            </a:ext>
          </a:extLst>
        </xdr:cNvPr>
        <xdr:cNvSpPr txBox="1"/>
      </xdr:nvSpPr>
      <xdr:spPr>
        <a:xfrm>
          <a:off x="4451928" y="4229331"/>
          <a:ext cx="1534776" cy="4350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DCB1647-F70F-4DD5-A3F0-5B09A88C3034}" type="TxLink">
            <a:rPr lang="en-US" sz="2400" b="1" i="0" u="none" strike="noStrike">
              <a:solidFill>
                <a:srgbClr val="FFFF00"/>
              </a:solidFill>
              <a:latin typeface="Calibri"/>
              <a:ea typeface="Calibri"/>
              <a:cs typeface="Calibri"/>
            </a:rPr>
            <a:pPr algn="ctr"/>
            <a:t>25</a:t>
          </a:fld>
          <a:endParaRPr lang="en-US" sz="1100" b="1">
            <a:solidFill>
              <a:srgbClr val="FFFF00"/>
            </a:solidFill>
          </a:endParaRPr>
        </a:p>
      </xdr:txBody>
    </xdr:sp>
    <xdr:clientData/>
  </xdr:twoCellAnchor>
  <xdr:twoCellAnchor>
    <xdr:from>
      <xdr:col>13</xdr:col>
      <xdr:colOff>300182</xdr:colOff>
      <xdr:row>22</xdr:row>
      <xdr:rowOff>84667</xdr:rowOff>
    </xdr:from>
    <xdr:to>
      <xdr:col>16</xdr:col>
      <xdr:colOff>223212</xdr:colOff>
      <xdr:row>24</xdr:row>
      <xdr:rowOff>169333</xdr:rowOff>
    </xdr:to>
    <xdr:sp macro="" textlink="[1]Sheet11!B112">
      <xdr:nvSpPr>
        <xdr:cNvPr id="14" name="TextBox 13">
          <a:extLst>
            <a:ext uri="{FF2B5EF4-FFF2-40B4-BE49-F238E27FC236}">
              <a16:creationId xmlns:a16="http://schemas.microsoft.com/office/drawing/2014/main" id="{D727D74F-9795-4AF0-9DAF-69986C3E3C3F}"/>
            </a:ext>
          </a:extLst>
        </xdr:cNvPr>
        <xdr:cNvSpPr txBox="1"/>
      </xdr:nvSpPr>
      <xdr:spPr>
        <a:xfrm>
          <a:off x="8224982" y="4108027"/>
          <a:ext cx="1751830" cy="4504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fld id="{82853A71-245A-4E23-A329-375DF18D28EE}" type="TxLink">
            <a:rPr lang="en-US" sz="2400" b="1" i="0" u="none" strike="noStrike">
              <a:solidFill>
                <a:srgbClr val="FFFF00"/>
              </a:solidFill>
              <a:latin typeface="Calibri"/>
              <a:ea typeface="Calibri"/>
              <a:cs typeface="Calibri"/>
            </a:rPr>
            <a:pPr algn="ctr"/>
            <a:t>19</a:t>
          </a:fld>
          <a:endParaRPr lang="en-US" sz="1100" b="1">
            <a:solidFill>
              <a:srgbClr val="FFFF00"/>
            </a:solidFill>
          </a:endParaRPr>
        </a:p>
      </xdr:txBody>
    </xdr:sp>
    <xdr:clientData/>
  </xdr:twoCellAnchor>
  <xdr:twoCellAnchor>
    <xdr:from>
      <xdr:col>2</xdr:col>
      <xdr:colOff>161636</xdr:colOff>
      <xdr:row>11</xdr:row>
      <xdr:rowOff>53879</xdr:rowOff>
    </xdr:from>
    <xdr:to>
      <xdr:col>5</xdr:col>
      <xdr:colOff>454121</xdr:colOff>
      <xdr:row>13</xdr:row>
      <xdr:rowOff>38484</xdr:rowOff>
    </xdr:to>
    <xdr:sp macro="" textlink="">
      <xdr:nvSpPr>
        <xdr:cNvPr id="15" name="TextBox 14">
          <a:extLst>
            <a:ext uri="{FF2B5EF4-FFF2-40B4-BE49-F238E27FC236}">
              <a16:creationId xmlns:a16="http://schemas.microsoft.com/office/drawing/2014/main" id="{3B253FB7-2EE2-4413-960A-0C635FE89185}"/>
            </a:ext>
          </a:extLst>
        </xdr:cNvPr>
        <xdr:cNvSpPr txBox="1"/>
      </xdr:nvSpPr>
      <xdr:spPr>
        <a:xfrm>
          <a:off x="1380836" y="2065559"/>
          <a:ext cx="2121285" cy="35036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2</xdr:col>
      <xdr:colOff>146243</xdr:colOff>
      <xdr:row>14</xdr:row>
      <xdr:rowOff>15393</xdr:rowOff>
    </xdr:from>
    <xdr:to>
      <xdr:col>5</xdr:col>
      <xdr:colOff>438728</xdr:colOff>
      <xdr:row>15</xdr:row>
      <xdr:rowOff>184726</xdr:rowOff>
    </xdr:to>
    <xdr:sp macro="" textlink="">
      <xdr:nvSpPr>
        <xdr:cNvPr id="16" name="TextBox 15">
          <a:extLst>
            <a:ext uri="{FF2B5EF4-FFF2-40B4-BE49-F238E27FC236}">
              <a16:creationId xmlns:a16="http://schemas.microsoft.com/office/drawing/2014/main" id="{655C3429-DB44-408C-8C3A-74DD22221EB9}"/>
            </a:ext>
          </a:extLst>
        </xdr:cNvPr>
        <xdr:cNvSpPr txBox="1"/>
      </xdr:nvSpPr>
      <xdr:spPr>
        <a:xfrm>
          <a:off x="1365443" y="2575713"/>
          <a:ext cx="2121285" cy="35221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2</xdr:col>
      <xdr:colOff>160097</xdr:colOff>
      <xdr:row>17</xdr:row>
      <xdr:rowOff>13854</xdr:rowOff>
    </xdr:from>
    <xdr:to>
      <xdr:col>5</xdr:col>
      <xdr:colOff>452582</xdr:colOff>
      <xdr:row>18</xdr:row>
      <xdr:rowOff>183187</xdr:rowOff>
    </xdr:to>
    <xdr:sp macro="" textlink="">
      <xdr:nvSpPr>
        <xdr:cNvPr id="17" name="TextBox 16">
          <a:extLst>
            <a:ext uri="{FF2B5EF4-FFF2-40B4-BE49-F238E27FC236}">
              <a16:creationId xmlns:a16="http://schemas.microsoft.com/office/drawing/2014/main" id="{832480B3-5687-4BB2-AC22-B38D6825970C}"/>
            </a:ext>
          </a:extLst>
        </xdr:cNvPr>
        <xdr:cNvSpPr txBox="1"/>
      </xdr:nvSpPr>
      <xdr:spPr>
        <a:xfrm>
          <a:off x="1379297" y="3122814"/>
          <a:ext cx="2121285" cy="35221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2</xdr:col>
      <xdr:colOff>166255</xdr:colOff>
      <xdr:row>20</xdr:row>
      <xdr:rowOff>27709</xdr:rowOff>
    </xdr:from>
    <xdr:to>
      <xdr:col>5</xdr:col>
      <xdr:colOff>458740</xdr:colOff>
      <xdr:row>22</xdr:row>
      <xdr:rowOff>12314</xdr:rowOff>
    </xdr:to>
    <xdr:sp macro="" textlink="">
      <xdr:nvSpPr>
        <xdr:cNvPr id="18" name="TextBox 17">
          <a:extLst>
            <a:ext uri="{FF2B5EF4-FFF2-40B4-BE49-F238E27FC236}">
              <a16:creationId xmlns:a16="http://schemas.microsoft.com/office/drawing/2014/main" id="{9EA7F581-112F-405A-BAED-F86B62534883}"/>
            </a:ext>
          </a:extLst>
        </xdr:cNvPr>
        <xdr:cNvSpPr txBox="1"/>
      </xdr:nvSpPr>
      <xdr:spPr>
        <a:xfrm>
          <a:off x="1385455" y="3685309"/>
          <a:ext cx="2121285" cy="35036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61783</xdr:colOff>
      <xdr:row>0</xdr:row>
      <xdr:rowOff>130847</xdr:rowOff>
    </xdr:from>
    <xdr:to>
      <xdr:col>18</xdr:col>
      <xdr:colOff>407940</xdr:colOff>
      <xdr:row>35</xdr:row>
      <xdr:rowOff>130847</xdr:rowOff>
    </xdr:to>
    <xdr:sp macro="" textlink="">
      <xdr:nvSpPr>
        <xdr:cNvPr id="2" name="Rectangle: Rounded Corners 1">
          <a:extLst>
            <a:ext uri="{FF2B5EF4-FFF2-40B4-BE49-F238E27FC236}">
              <a16:creationId xmlns:a16="http://schemas.microsoft.com/office/drawing/2014/main" id="{8C9A605D-321E-40A7-B0EE-2955F4058786}"/>
            </a:ext>
          </a:extLst>
        </xdr:cNvPr>
        <xdr:cNvSpPr/>
      </xdr:nvSpPr>
      <xdr:spPr>
        <a:xfrm>
          <a:off x="671383" y="130847"/>
          <a:ext cx="10709357" cy="6400800"/>
        </a:xfrm>
        <a:prstGeom prst="roundRect">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7696</xdr:colOff>
      <xdr:row>0</xdr:row>
      <xdr:rowOff>146241</xdr:rowOff>
    </xdr:from>
    <xdr:to>
      <xdr:col>18</xdr:col>
      <xdr:colOff>400241</xdr:colOff>
      <xdr:row>35</xdr:row>
      <xdr:rowOff>130848</xdr:rowOff>
    </xdr:to>
    <xdr:sp macro="" textlink="">
      <xdr:nvSpPr>
        <xdr:cNvPr id="3" name="Rectangle: Rounded Corners 2">
          <a:extLst>
            <a:ext uri="{FF2B5EF4-FFF2-40B4-BE49-F238E27FC236}">
              <a16:creationId xmlns:a16="http://schemas.microsoft.com/office/drawing/2014/main" id="{9F7482E1-073A-4F41-B1EE-005A3D8ED62B}"/>
            </a:ext>
          </a:extLst>
        </xdr:cNvPr>
        <xdr:cNvSpPr/>
      </xdr:nvSpPr>
      <xdr:spPr>
        <a:xfrm>
          <a:off x="3055696" y="146241"/>
          <a:ext cx="8317345" cy="6385407"/>
        </a:xfrm>
        <a:prstGeom prst="roundRect">
          <a:avLst/>
        </a:prstGeom>
        <a:gradFill flip="none" rotWithShape="1">
          <a:gsLst>
            <a:gs pos="0">
              <a:schemeClr val="accent6">
                <a:lumMod val="40000"/>
                <a:lumOff val="60000"/>
                <a:shade val="30000"/>
                <a:satMod val="115000"/>
              </a:schemeClr>
            </a:gs>
            <a:gs pos="50000">
              <a:schemeClr val="accent6">
                <a:lumMod val="40000"/>
                <a:lumOff val="60000"/>
                <a:shade val="67500"/>
                <a:satMod val="115000"/>
              </a:schemeClr>
            </a:gs>
            <a:gs pos="100000">
              <a:schemeClr val="accent6">
                <a:lumMod val="40000"/>
                <a:lumOff val="60000"/>
                <a:shade val="100000"/>
                <a:satMod val="115000"/>
              </a:schemeClr>
            </a:gs>
          </a:gsLst>
          <a:lin ang="13500000" scaled="1"/>
          <a:tileRect/>
        </a:gra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438728</xdr:colOff>
      <xdr:row>2</xdr:row>
      <xdr:rowOff>92363</xdr:rowOff>
    </xdr:from>
    <xdr:to>
      <xdr:col>14</xdr:col>
      <xdr:colOff>592667</xdr:colOff>
      <xdr:row>6</xdr:row>
      <xdr:rowOff>0</xdr:rowOff>
    </xdr:to>
    <xdr:sp macro="" textlink="">
      <xdr:nvSpPr>
        <xdr:cNvPr id="4" name="TextBox 3">
          <a:hlinkClick xmlns:r="http://schemas.openxmlformats.org/officeDocument/2006/relationships" r:id="rId1"/>
          <a:extLst>
            <a:ext uri="{FF2B5EF4-FFF2-40B4-BE49-F238E27FC236}">
              <a16:creationId xmlns:a16="http://schemas.microsoft.com/office/drawing/2014/main" id="{036E40A7-6B7C-434C-868F-346DD297CC8A}"/>
            </a:ext>
          </a:extLst>
        </xdr:cNvPr>
        <xdr:cNvSpPr txBox="1"/>
      </xdr:nvSpPr>
      <xdr:spPr>
        <a:xfrm>
          <a:off x="4705928" y="458123"/>
          <a:ext cx="4421139" cy="63915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3200" b="1"/>
            <a:t>ORDER</a:t>
          </a:r>
        </a:p>
      </xdr:txBody>
    </xdr:sp>
    <xdr:clientData/>
  </xdr:twoCellAnchor>
  <xdr:twoCellAnchor editAs="oneCell">
    <xdr:from>
      <xdr:col>5</xdr:col>
      <xdr:colOff>346363</xdr:colOff>
      <xdr:row>7</xdr:row>
      <xdr:rowOff>61576</xdr:rowOff>
    </xdr:from>
    <xdr:to>
      <xdr:col>6</xdr:col>
      <xdr:colOff>523393</xdr:colOff>
      <xdr:row>11</xdr:row>
      <xdr:rowOff>23091</xdr:rowOff>
    </xdr:to>
    <xdr:pic>
      <xdr:nvPicPr>
        <xdr:cNvPr id="5" name="Graphic 4" descr="Bar chart with solid fill">
          <a:extLst>
            <a:ext uri="{FF2B5EF4-FFF2-40B4-BE49-F238E27FC236}">
              <a16:creationId xmlns:a16="http://schemas.microsoft.com/office/drawing/2014/main" id="{07592886-2680-4B93-88AF-650D28169C48}"/>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3394363" y="1341736"/>
          <a:ext cx="786630" cy="693035"/>
        </a:xfrm>
        <a:prstGeom prst="rect">
          <a:avLst/>
        </a:prstGeom>
      </xdr:spPr>
    </xdr:pic>
    <xdr:clientData/>
  </xdr:twoCellAnchor>
  <xdr:twoCellAnchor>
    <xdr:from>
      <xdr:col>7</xdr:col>
      <xdr:colOff>61576</xdr:colOff>
      <xdr:row>8</xdr:row>
      <xdr:rowOff>7697</xdr:rowOff>
    </xdr:from>
    <xdr:to>
      <xdr:col>10</xdr:col>
      <xdr:colOff>523394</xdr:colOff>
      <xdr:row>10</xdr:row>
      <xdr:rowOff>107757</xdr:rowOff>
    </xdr:to>
    <xdr:sp macro="" textlink="">
      <xdr:nvSpPr>
        <xdr:cNvPr id="6" name="TextBox 5">
          <a:extLst>
            <a:ext uri="{FF2B5EF4-FFF2-40B4-BE49-F238E27FC236}">
              <a16:creationId xmlns:a16="http://schemas.microsoft.com/office/drawing/2014/main" id="{E26A8457-0FD6-4F5B-A684-F560458F1F48}"/>
            </a:ext>
          </a:extLst>
        </xdr:cNvPr>
        <xdr:cNvSpPr txBox="1"/>
      </xdr:nvSpPr>
      <xdr:spPr>
        <a:xfrm>
          <a:off x="4328776" y="1470737"/>
          <a:ext cx="2290618" cy="46582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t>ANALYTICS</a:t>
          </a:r>
        </a:p>
      </xdr:txBody>
    </xdr:sp>
    <xdr:clientData/>
  </xdr:twoCellAnchor>
  <xdr:twoCellAnchor editAs="oneCell">
    <xdr:from>
      <xdr:col>15</xdr:col>
      <xdr:colOff>23449</xdr:colOff>
      <xdr:row>12</xdr:row>
      <xdr:rowOff>100294</xdr:rowOff>
    </xdr:from>
    <xdr:to>
      <xdr:col>18</xdr:col>
      <xdr:colOff>28067</xdr:colOff>
      <xdr:row>23</xdr:row>
      <xdr:rowOff>40135</xdr:rowOff>
    </xdr:to>
    <mc:AlternateContent xmlns:mc="http://schemas.openxmlformats.org/markup-compatibility/2006" xmlns:a14="http://schemas.microsoft.com/office/drawing/2010/main">
      <mc:Choice Requires="a14">
        <xdr:graphicFrame macro="">
          <xdr:nvGraphicFramePr>
            <xdr:cNvPr id="7" name="CustomerName 1">
              <a:extLst>
                <a:ext uri="{FF2B5EF4-FFF2-40B4-BE49-F238E27FC236}">
                  <a16:creationId xmlns:a16="http://schemas.microsoft.com/office/drawing/2014/main" id="{E4D3EEB6-84FD-49CB-9ACB-60F23A497D0F}"/>
                </a:ext>
              </a:extLst>
            </xdr:cNvPr>
            <xdr:cNvGraphicFramePr/>
          </xdr:nvGraphicFramePr>
          <xdr:xfrm>
            <a:off x="0" y="0"/>
            <a:ext cx="0" cy="0"/>
          </xdr:xfrm>
          <a:graphic>
            <a:graphicData uri="http://schemas.microsoft.com/office/drawing/2010/slicer">
              <sle:slicer xmlns:sle="http://schemas.microsoft.com/office/drawing/2010/slicer" name="CustomerName 1"/>
            </a:graphicData>
          </a:graphic>
        </xdr:graphicFrame>
      </mc:Choice>
      <mc:Fallback xmlns="">
        <xdr:sp macro="" textlink="">
          <xdr:nvSpPr>
            <xdr:cNvPr id="0" name=""/>
            <xdr:cNvSpPr>
              <a:spLocks noTextEdit="1"/>
            </xdr:cNvSpPr>
          </xdr:nvSpPr>
          <xdr:spPr>
            <a:xfrm>
              <a:off x="9167449" y="2294854"/>
              <a:ext cx="1833418" cy="195152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46758</xdr:colOff>
      <xdr:row>24</xdr:row>
      <xdr:rowOff>23740</xdr:rowOff>
    </xdr:from>
    <xdr:to>
      <xdr:col>18</xdr:col>
      <xdr:colOff>51376</xdr:colOff>
      <xdr:row>33</xdr:row>
      <xdr:rowOff>145142</xdr:rowOff>
    </xdr:to>
    <mc:AlternateContent xmlns:mc="http://schemas.openxmlformats.org/markup-compatibility/2006" xmlns:a14="http://schemas.microsoft.com/office/drawing/2010/main">
      <mc:Choice Requires="a14">
        <xdr:graphicFrame macro="">
          <xdr:nvGraphicFramePr>
            <xdr:cNvPr id="8" name="State 1">
              <a:extLst>
                <a:ext uri="{FF2B5EF4-FFF2-40B4-BE49-F238E27FC236}">
                  <a16:creationId xmlns:a16="http://schemas.microsoft.com/office/drawing/2014/main" id="{DA3994C2-A49A-4101-B67E-BD181635ED9E}"/>
                </a:ext>
              </a:extLst>
            </xdr:cNvPr>
            <xdr:cNvGraphicFramePr/>
          </xdr:nvGraphicFramePr>
          <xdr:xfrm>
            <a:off x="0" y="0"/>
            <a:ext cx="0" cy="0"/>
          </xdr:xfrm>
          <a:graphic>
            <a:graphicData uri="http://schemas.microsoft.com/office/drawing/2010/slicer">
              <sle:slicer xmlns:sle="http://schemas.microsoft.com/office/drawing/2010/slicer" name="State 1"/>
            </a:graphicData>
          </a:graphic>
        </xdr:graphicFrame>
      </mc:Choice>
      <mc:Fallback xmlns="">
        <xdr:sp macro="" textlink="">
          <xdr:nvSpPr>
            <xdr:cNvPr id="0" name=""/>
            <xdr:cNvSpPr>
              <a:spLocks noTextEdit="1"/>
            </xdr:cNvSpPr>
          </xdr:nvSpPr>
          <xdr:spPr>
            <a:xfrm>
              <a:off x="9190758" y="4412860"/>
              <a:ext cx="1833418" cy="176732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41511</xdr:colOff>
      <xdr:row>2</xdr:row>
      <xdr:rowOff>136347</xdr:rowOff>
    </xdr:from>
    <xdr:to>
      <xdr:col>18</xdr:col>
      <xdr:colOff>46129</xdr:colOff>
      <xdr:row>11</xdr:row>
      <xdr:rowOff>117929</xdr:rowOff>
    </xdr:to>
    <mc:AlternateContent xmlns:mc="http://schemas.openxmlformats.org/markup-compatibility/2006" xmlns:a14="http://schemas.microsoft.com/office/drawing/2010/main">
      <mc:Choice Requires="a14">
        <xdr:graphicFrame macro="">
          <xdr:nvGraphicFramePr>
            <xdr:cNvPr id="9" name="City 1">
              <a:extLst>
                <a:ext uri="{FF2B5EF4-FFF2-40B4-BE49-F238E27FC236}">
                  <a16:creationId xmlns:a16="http://schemas.microsoft.com/office/drawing/2014/main" id="{CFC16C98-AE00-4BEE-8D1D-20FF1D9FE966}"/>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9185511" y="502107"/>
              <a:ext cx="1833418" cy="162750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54429</xdr:colOff>
      <xdr:row>12</xdr:row>
      <xdr:rowOff>36287</xdr:rowOff>
    </xdr:from>
    <xdr:to>
      <xdr:col>11</xdr:col>
      <xdr:colOff>235857</xdr:colOff>
      <xdr:row>13</xdr:row>
      <xdr:rowOff>90716</xdr:rowOff>
    </xdr:to>
    <xdr:sp macro="" textlink="">
      <xdr:nvSpPr>
        <xdr:cNvPr id="10" name="TextBox 9">
          <a:extLst>
            <a:ext uri="{FF2B5EF4-FFF2-40B4-BE49-F238E27FC236}">
              <a16:creationId xmlns:a16="http://schemas.microsoft.com/office/drawing/2014/main" id="{75D51AD2-45A8-4EF0-BDB3-8CCCE206CB95}"/>
            </a:ext>
          </a:extLst>
        </xdr:cNvPr>
        <xdr:cNvSpPr txBox="1"/>
      </xdr:nvSpPr>
      <xdr:spPr>
        <a:xfrm>
          <a:off x="3712029" y="2230847"/>
          <a:ext cx="3229428" cy="237309"/>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1"/>
              </a:solidFill>
            </a:rPr>
            <a:t>MONTHLY</a:t>
          </a:r>
          <a:r>
            <a:rPr lang="en-US" sz="1400" b="1" baseline="0">
              <a:solidFill>
                <a:schemeClr val="bg1"/>
              </a:solidFill>
            </a:rPr>
            <a:t> ORDER</a:t>
          </a:r>
          <a:endParaRPr lang="en-US" sz="1400" b="1">
            <a:solidFill>
              <a:schemeClr val="bg1"/>
            </a:solidFill>
          </a:endParaRPr>
        </a:p>
      </xdr:txBody>
    </xdr:sp>
    <xdr:clientData/>
  </xdr:twoCellAnchor>
  <xdr:twoCellAnchor>
    <xdr:from>
      <xdr:col>8</xdr:col>
      <xdr:colOff>18143</xdr:colOff>
      <xdr:row>24</xdr:row>
      <xdr:rowOff>81642</xdr:rowOff>
    </xdr:from>
    <xdr:to>
      <xdr:col>13</xdr:col>
      <xdr:colOff>290286</xdr:colOff>
      <xdr:row>25</xdr:row>
      <xdr:rowOff>154214</xdr:rowOff>
    </xdr:to>
    <xdr:sp macro="" textlink="">
      <xdr:nvSpPr>
        <xdr:cNvPr id="11" name="TextBox 10">
          <a:extLst>
            <a:ext uri="{FF2B5EF4-FFF2-40B4-BE49-F238E27FC236}">
              <a16:creationId xmlns:a16="http://schemas.microsoft.com/office/drawing/2014/main" id="{B7AE8EAD-A90C-4D63-A7ED-16BCF51B85C1}"/>
            </a:ext>
          </a:extLst>
        </xdr:cNvPr>
        <xdr:cNvSpPr txBox="1"/>
      </xdr:nvSpPr>
      <xdr:spPr>
        <a:xfrm>
          <a:off x="4894943" y="4470762"/>
          <a:ext cx="3320143" cy="255452"/>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bg1"/>
              </a:solidFill>
            </a:rPr>
            <a:t>TOP 3 MONTH</a:t>
          </a:r>
          <a:r>
            <a:rPr lang="en-US" sz="1600" b="1" baseline="0">
              <a:solidFill>
                <a:schemeClr val="bg1"/>
              </a:solidFill>
            </a:rPr>
            <a:t>  MAX </a:t>
          </a:r>
          <a:r>
            <a:rPr lang="en-US" sz="1600" b="1">
              <a:solidFill>
                <a:schemeClr val="bg1"/>
              </a:solidFill>
            </a:rPr>
            <a:t>ORDER</a:t>
          </a:r>
        </a:p>
      </xdr:txBody>
    </xdr:sp>
    <xdr:clientData/>
  </xdr:twoCellAnchor>
  <xdr:twoCellAnchor editAs="oneCell">
    <xdr:from>
      <xdr:col>9</xdr:col>
      <xdr:colOff>517071</xdr:colOff>
      <xdr:row>7</xdr:row>
      <xdr:rowOff>99786</xdr:rowOff>
    </xdr:from>
    <xdr:to>
      <xdr:col>14</xdr:col>
      <xdr:colOff>544285</xdr:colOff>
      <xdr:row>13</xdr:row>
      <xdr:rowOff>175986</xdr:rowOff>
    </xdr:to>
    <mc:AlternateContent xmlns:mc="http://schemas.openxmlformats.org/markup-compatibility/2006" xmlns:tsle="http://schemas.microsoft.com/office/drawing/2012/timeslicer">
      <mc:Choice Requires="tsle">
        <xdr:graphicFrame macro="">
          <xdr:nvGraphicFramePr>
            <xdr:cNvPr id="12" name="Order Date 1">
              <a:extLst>
                <a:ext uri="{FF2B5EF4-FFF2-40B4-BE49-F238E27FC236}">
                  <a16:creationId xmlns:a16="http://schemas.microsoft.com/office/drawing/2014/main" id="{72926101-B887-40CB-B3FA-FE842F29F3B2}"/>
                </a:ext>
              </a:extLst>
            </xdr:cNvPr>
            <xdr:cNvGraphicFramePr/>
          </xdr:nvGraphicFramePr>
          <xdr:xfrm>
            <a:off x="0" y="0"/>
            <a:ext cx="0" cy="0"/>
          </xdr:xfrm>
          <a:graphic>
            <a:graphicData uri="http://schemas.microsoft.com/office/drawing/2012/timeslicer">
              <tsle:timeslicer name="Order Date 1"/>
            </a:graphicData>
          </a:graphic>
        </xdr:graphicFrame>
      </mc:Choice>
      <mc:Fallback xmlns="">
        <xdr:sp macro="" textlink="">
          <xdr:nvSpPr>
            <xdr:cNvPr id="0" name=""/>
            <xdr:cNvSpPr>
              <a:spLocks noTextEdit="1"/>
            </xdr:cNvSpPr>
          </xdr:nvSpPr>
          <xdr:spPr>
            <a:xfrm>
              <a:off x="6003471" y="1379946"/>
              <a:ext cx="3075214" cy="1078776"/>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1</xdr:col>
      <xdr:colOff>247135</xdr:colOff>
      <xdr:row>12</xdr:row>
      <xdr:rowOff>151440</xdr:rowOff>
    </xdr:from>
    <xdr:to>
      <xdr:col>5</xdr:col>
      <xdr:colOff>164756</xdr:colOff>
      <xdr:row>15</xdr:row>
      <xdr:rowOff>92675</xdr:rowOff>
    </xdr:to>
    <xdr:sp macro="" textlink="">
      <xdr:nvSpPr>
        <xdr:cNvPr id="15" name="TextBox 14">
          <a:hlinkClick xmlns:r="http://schemas.openxmlformats.org/officeDocument/2006/relationships" r:id="rId1"/>
          <a:extLst>
            <a:ext uri="{FF2B5EF4-FFF2-40B4-BE49-F238E27FC236}">
              <a16:creationId xmlns:a16="http://schemas.microsoft.com/office/drawing/2014/main" id="{4F532CCF-F396-4E0B-A033-12A61649E022}"/>
            </a:ext>
          </a:extLst>
        </xdr:cNvPr>
        <xdr:cNvSpPr txBox="1"/>
      </xdr:nvSpPr>
      <xdr:spPr>
        <a:xfrm>
          <a:off x="856735" y="2346000"/>
          <a:ext cx="2356021" cy="4898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1"/>
            <a:t>ORDER</a:t>
          </a:r>
        </a:p>
      </xdr:txBody>
    </xdr:sp>
    <xdr:clientData/>
  </xdr:twoCellAnchor>
  <xdr:twoCellAnchor>
    <xdr:from>
      <xdr:col>1</xdr:col>
      <xdr:colOff>275968</xdr:colOff>
      <xdr:row>16</xdr:row>
      <xdr:rowOff>149380</xdr:rowOff>
    </xdr:from>
    <xdr:to>
      <xdr:col>5</xdr:col>
      <xdr:colOff>193589</xdr:colOff>
      <xdr:row>19</xdr:row>
      <xdr:rowOff>90615</xdr:rowOff>
    </xdr:to>
    <xdr:sp macro="" textlink="">
      <xdr:nvSpPr>
        <xdr:cNvPr id="16" name="TextBox 15">
          <a:hlinkClick xmlns:r="http://schemas.openxmlformats.org/officeDocument/2006/relationships" r:id="rId4"/>
          <a:extLst>
            <a:ext uri="{FF2B5EF4-FFF2-40B4-BE49-F238E27FC236}">
              <a16:creationId xmlns:a16="http://schemas.microsoft.com/office/drawing/2014/main" id="{FB438DC0-8EC3-4324-8925-40BCADA0C205}"/>
            </a:ext>
          </a:extLst>
        </xdr:cNvPr>
        <xdr:cNvSpPr txBox="1"/>
      </xdr:nvSpPr>
      <xdr:spPr>
        <a:xfrm>
          <a:off x="885568" y="3075460"/>
          <a:ext cx="2356021" cy="4898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1"/>
            <a:t>CUSTOMER</a:t>
          </a:r>
        </a:p>
      </xdr:txBody>
    </xdr:sp>
    <xdr:clientData/>
  </xdr:twoCellAnchor>
  <xdr:twoCellAnchor>
    <xdr:from>
      <xdr:col>1</xdr:col>
      <xdr:colOff>253313</xdr:colOff>
      <xdr:row>21</xdr:row>
      <xdr:rowOff>23754</xdr:rowOff>
    </xdr:from>
    <xdr:to>
      <xdr:col>5</xdr:col>
      <xdr:colOff>170934</xdr:colOff>
      <xdr:row>23</xdr:row>
      <xdr:rowOff>150340</xdr:rowOff>
    </xdr:to>
    <xdr:sp macro="" textlink="">
      <xdr:nvSpPr>
        <xdr:cNvPr id="17" name="TextBox 16">
          <a:hlinkClick xmlns:r="http://schemas.openxmlformats.org/officeDocument/2006/relationships" r:id="rId5"/>
          <a:extLst>
            <a:ext uri="{FF2B5EF4-FFF2-40B4-BE49-F238E27FC236}">
              <a16:creationId xmlns:a16="http://schemas.microsoft.com/office/drawing/2014/main" id="{848568D2-BAA1-44C6-9740-B92593436ADF}"/>
            </a:ext>
          </a:extLst>
        </xdr:cNvPr>
        <xdr:cNvSpPr txBox="1"/>
      </xdr:nvSpPr>
      <xdr:spPr>
        <a:xfrm>
          <a:off x="862913" y="3864234"/>
          <a:ext cx="2356021" cy="49234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1"/>
            <a:t>CITIES</a:t>
          </a:r>
        </a:p>
      </xdr:txBody>
    </xdr:sp>
    <xdr:clientData/>
  </xdr:twoCellAnchor>
  <xdr:twoCellAnchor>
    <xdr:from>
      <xdr:col>1</xdr:col>
      <xdr:colOff>261551</xdr:colOff>
      <xdr:row>25</xdr:row>
      <xdr:rowOff>52585</xdr:rowOff>
    </xdr:from>
    <xdr:to>
      <xdr:col>5</xdr:col>
      <xdr:colOff>179172</xdr:colOff>
      <xdr:row>27</xdr:row>
      <xdr:rowOff>179172</xdr:rowOff>
    </xdr:to>
    <xdr:sp macro="" textlink="">
      <xdr:nvSpPr>
        <xdr:cNvPr id="18" name="TextBox 17">
          <a:hlinkClick xmlns:r="http://schemas.openxmlformats.org/officeDocument/2006/relationships" r:id="rId6"/>
          <a:extLst>
            <a:ext uri="{FF2B5EF4-FFF2-40B4-BE49-F238E27FC236}">
              <a16:creationId xmlns:a16="http://schemas.microsoft.com/office/drawing/2014/main" id="{1CF02754-044D-43C6-9598-0D1EC6B6E447}"/>
            </a:ext>
          </a:extLst>
        </xdr:cNvPr>
        <xdr:cNvSpPr txBox="1"/>
      </xdr:nvSpPr>
      <xdr:spPr>
        <a:xfrm>
          <a:off x="871151" y="4624585"/>
          <a:ext cx="2356021" cy="49234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1"/>
            <a:t>STATE</a:t>
          </a:r>
        </a:p>
      </xdr:txBody>
    </xdr:sp>
    <xdr:clientData/>
  </xdr:twoCellAnchor>
  <xdr:twoCellAnchor>
    <xdr:from>
      <xdr:col>1</xdr:col>
      <xdr:colOff>259080</xdr:colOff>
      <xdr:row>9</xdr:row>
      <xdr:rowOff>7620</xdr:rowOff>
    </xdr:from>
    <xdr:to>
      <xdr:col>5</xdr:col>
      <xdr:colOff>167640</xdr:colOff>
      <xdr:row>11</xdr:row>
      <xdr:rowOff>160020</xdr:rowOff>
    </xdr:to>
    <xdr:sp macro="" textlink="">
      <xdr:nvSpPr>
        <xdr:cNvPr id="19" name="TextBox 18">
          <a:hlinkClick xmlns:r="http://schemas.openxmlformats.org/officeDocument/2006/relationships" r:id="rId7"/>
          <a:extLst>
            <a:ext uri="{FF2B5EF4-FFF2-40B4-BE49-F238E27FC236}">
              <a16:creationId xmlns:a16="http://schemas.microsoft.com/office/drawing/2014/main" id="{1BD824A8-E330-2E9C-3D7B-3258051BEA68}"/>
            </a:ext>
          </a:extLst>
        </xdr:cNvPr>
        <xdr:cNvSpPr txBox="1"/>
      </xdr:nvSpPr>
      <xdr:spPr>
        <a:xfrm>
          <a:off x="868680" y="1653540"/>
          <a:ext cx="2346960" cy="5181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t>DASHBOARD</a:t>
          </a:r>
        </a:p>
      </xdr:txBody>
    </xdr:sp>
    <xdr:clientData/>
  </xdr:twoCellAnchor>
  <xdr:twoCellAnchor>
    <xdr:from>
      <xdr:col>6</xdr:col>
      <xdr:colOff>129540</xdr:colOff>
      <xdr:row>14</xdr:row>
      <xdr:rowOff>38100</xdr:rowOff>
    </xdr:from>
    <xdr:to>
      <xdr:col>13</xdr:col>
      <xdr:colOff>518160</xdr:colOff>
      <xdr:row>24</xdr:row>
      <xdr:rowOff>22860</xdr:rowOff>
    </xdr:to>
    <xdr:graphicFrame macro="">
      <xdr:nvGraphicFramePr>
        <xdr:cNvPr id="20" name="Chart 19">
          <a:extLst>
            <a:ext uri="{FF2B5EF4-FFF2-40B4-BE49-F238E27FC236}">
              <a16:creationId xmlns:a16="http://schemas.microsoft.com/office/drawing/2014/main" id="{E1D08AED-EE38-46AA-9371-E8B646EEE4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8</xdr:col>
      <xdr:colOff>54378</xdr:colOff>
      <xdr:row>26</xdr:row>
      <xdr:rowOff>45720</xdr:rowOff>
    </xdr:from>
    <xdr:to>
      <xdr:col>13</xdr:col>
      <xdr:colOff>274320</xdr:colOff>
      <xdr:row>35</xdr:row>
      <xdr:rowOff>76200</xdr:rowOff>
    </xdr:to>
    <xdr:graphicFrame macro="">
      <xdr:nvGraphicFramePr>
        <xdr:cNvPr id="21" name="Chart 20">
          <a:extLst>
            <a:ext uri="{FF2B5EF4-FFF2-40B4-BE49-F238E27FC236}">
              <a16:creationId xmlns:a16="http://schemas.microsoft.com/office/drawing/2014/main" id="{99821E21-9E17-42FC-8192-C665597070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298621</xdr:colOff>
      <xdr:row>0</xdr:row>
      <xdr:rowOff>130847</xdr:rowOff>
    </xdr:from>
    <xdr:to>
      <xdr:col>18</xdr:col>
      <xdr:colOff>407939</xdr:colOff>
      <xdr:row>35</xdr:row>
      <xdr:rowOff>130847</xdr:rowOff>
    </xdr:to>
    <xdr:sp macro="" textlink="">
      <xdr:nvSpPr>
        <xdr:cNvPr id="2" name="Rectangle: Rounded Corners 1">
          <a:extLst>
            <a:ext uri="{FF2B5EF4-FFF2-40B4-BE49-F238E27FC236}">
              <a16:creationId xmlns:a16="http://schemas.microsoft.com/office/drawing/2014/main" id="{49D57EC0-EF3A-4C5D-A974-F5E4DFCBD978}"/>
            </a:ext>
          </a:extLst>
        </xdr:cNvPr>
        <xdr:cNvSpPr/>
      </xdr:nvSpPr>
      <xdr:spPr>
        <a:xfrm>
          <a:off x="908221" y="130847"/>
          <a:ext cx="10472518" cy="6400800"/>
        </a:xfrm>
        <a:prstGeom prst="roundRect">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7696</xdr:colOff>
      <xdr:row>0</xdr:row>
      <xdr:rowOff>146241</xdr:rowOff>
    </xdr:from>
    <xdr:to>
      <xdr:col>18</xdr:col>
      <xdr:colOff>400241</xdr:colOff>
      <xdr:row>35</xdr:row>
      <xdr:rowOff>130848</xdr:rowOff>
    </xdr:to>
    <xdr:sp macro="" textlink="">
      <xdr:nvSpPr>
        <xdr:cNvPr id="3" name="Rectangle: Rounded Corners 2">
          <a:extLst>
            <a:ext uri="{FF2B5EF4-FFF2-40B4-BE49-F238E27FC236}">
              <a16:creationId xmlns:a16="http://schemas.microsoft.com/office/drawing/2014/main" id="{B8BE9754-7B21-4A46-B68C-88F7D5EF3190}"/>
            </a:ext>
          </a:extLst>
        </xdr:cNvPr>
        <xdr:cNvSpPr/>
      </xdr:nvSpPr>
      <xdr:spPr>
        <a:xfrm>
          <a:off x="3055696" y="146241"/>
          <a:ext cx="8317345" cy="6385407"/>
        </a:xfrm>
        <a:prstGeom prst="roundRect">
          <a:avLst/>
        </a:prstGeom>
        <a:gradFill flip="none" rotWithShape="1">
          <a:gsLst>
            <a:gs pos="0">
              <a:schemeClr val="accent6">
                <a:lumMod val="40000"/>
                <a:lumOff val="60000"/>
                <a:shade val="30000"/>
                <a:satMod val="115000"/>
              </a:schemeClr>
            </a:gs>
            <a:gs pos="50000">
              <a:schemeClr val="accent6">
                <a:lumMod val="40000"/>
                <a:lumOff val="60000"/>
                <a:shade val="67500"/>
                <a:satMod val="115000"/>
              </a:schemeClr>
            </a:gs>
            <a:gs pos="100000">
              <a:schemeClr val="accent6">
                <a:lumMod val="40000"/>
                <a:lumOff val="60000"/>
                <a:shade val="100000"/>
                <a:satMod val="115000"/>
              </a:schemeClr>
            </a:gs>
          </a:gsLst>
          <a:lin ang="13500000" scaled="1"/>
          <a:tileRect/>
        </a:gra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438728</xdr:colOff>
      <xdr:row>2</xdr:row>
      <xdr:rowOff>92363</xdr:rowOff>
    </xdr:from>
    <xdr:to>
      <xdr:col>14</xdr:col>
      <xdr:colOff>592667</xdr:colOff>
      <xdr:row>6</xdr:row>
      <xdr:rowOff>0</xdr:rowOff>
    </xdr:to>
    <xdr:sp macro="" textlink="">
      <xdr:nvSpPr>
        <xdr:cNvPr id="4" name="TextBox 3">
          <a:hlinkClick xmlns:r="http://schemas.openxmlformats.org/officeDocument/2006/relationships" r:id="rId1"/>
          <a:extLst>
            <a:ext uri="{FF2B5EF4-FFF2-40B4-BE49-F238E27FC236}">
              <a16:creationId xmlns:a16="http://schemas.microsoft.com/office/drawing/2014/main" id="{DBBBD8F8-1523-4B03-A765-AF7A77DAF060}"/>
            </a:ext>
          </a:extLst>
        </xdr:cNvPr>
        <xdr:cNvSpPr txBox="1"/>
      </xdr:nvSpPr>
      <xdr:spPr>
        <a:xfrm>
          <a:off x="4705928" y="458123"/>
          <a:ext cx="4421139" cy="63915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3200" b="1"/>
            <a:t>CUSTOMER</a:t>
          </a:r>
        </a:p>
      </xdr:txBody>
    </xdr:sp>
    <xdr:clientData/>
  </xdr:twoCellAnchor>
  <xdr:twoCellAnchor editAs="oneCell">
    <xdr:from>
      <xdr:col>5</xdr:col>
      <xdr:colOff>346363</xdr:colOff>
      <xdr:row>7</xdr:row>
      <xdr:rowOff>61576</xdr:rowOff>
    </xdr:from>
    <xdr:to>
      <xdr:col>6</xdr:col>
      <xdr:colOff>523393</xdr:colOff>
      <xdr:row>11</xdr:row>
      <xdr:rowOff>23091</xdr:rowOff>
    </xdr:to>
    <xdr:pic>
      <xdr:nvPicPr>
        <xdr:cNvPr id="5" name="Graphic 4" descr="Bar chart with solid fill">
          <a:extLst>
            <a:ext uri="{FF2B5EF4-FFF2-40B4-BE49-F238E27FC236}">
              <a16:creationId xmlns:a16="http://schemas.microsoft.com/office/drawing/2014/main" id="{959B394D-ED26-4377-8AD5-C48007F0CFE0}"/>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3394363" y="1341736"/>
          <a:ext cx="786630" cy="693035"/>
        </a:xfrm>
        <a:prstGeom prst="rect">
          <a:avLst/>
        </a:prstGeom>
      </xdr:spPr>
    </xdr:pic>
    <xdr:clientData/>
  </xdr:twoCellAnchor>
  <xdr:twoCellAnchor>
    <xdr:from>
      <xdr:col>7</xdr:col>
      <xdr:colOff>61576</xdr:colOff>
      <xdr:row>8</xdr:row>
      <xdr:rowOff>7697</xdr:rowOff>
    </xdr:from>
    <xdr:to>
      <xdr:col>10</xdr:col>
      <xdr:colOff>523394</xdr:colOff>
      <xdr:row>10</xdr:row>
      <xdr:rowOff>107757</xdr:rowOff>
    </xdr:to>
    <xdr:sp macro="" textlink="">
      <xdr:nvSpPr>
        <xdr:cNvPr id="6" name="TextBox 5">
          <a:extLst>
            <a:ext uri="{FF2B5EF4-FFF2-40B4-BE49-F238E27FC236}">
              <a16:creationId xmlns:a16="http://schemas.microsoft.com/office/drawing/2014/main" id="{AEED7CDA-208E-4805-A208-81C3C3245490}"/>
            </a:ext>
          </a:extLst>
        </xdr:cNvPr>
        <xdr:cNvSpPr txBox="1"/>
      </xdr:nvSpPr>
      <xdr:spPr>
        <a:xfrm>
          <a:off x="4328776" y="1470737"/>
          <a:ext cx="2290618" cy="46582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t>ANALYTICS</a:t>
          </a:r>
        </a:p>
      </xdr:txBody>
    </xdr:sp>
    <xdr:clientData/>
  </xdr:twoCellAnchor>
  <xdr:twoCellAnchor editAs="oneCell">
    <xdr:from>
      <xdr:col>15</xdr:col>
      <xdr:colOff>23449</xdr:colOff>
      <xdr:row>12</xdr:row>
      <xdr:rowOff>100294</xdr:rowOff>
    </xdr:from>
    <xdr:to>
      <xdr:col>18</xdr:col>
      <xdr:colOff>28067</xdr:colOff>
      <xdr:row>23</xdr:row>
      <xdr:rowOff>40135</xdr:rowOff>
    </xdr:to>
    <mc:AlternateContent xmlns:mc="http://schemas.openxmlformats.org/markup-compatibility/2006" xmlns:a14="http://schemas.microsoft.com/office/drawing/2010/main">
      <mc:Choice Requires="a14">
        <xdr:graphicFrame macro="">
          <xdr:nvGraphicFramePr>
            <xdr:cNvPr id="7" name="CustomerName 2">
              <a:extLst>
                <a:ext uri="{FF2B5EF4-FFF2-40B4-BE49-F238E27FC236}">
                  <a16:creationId xmlns:a16="http://schemas.microsoft.com/office/drawing/2014/main" id="{CB5A9F79-7920-41D0-972F-0AFA2DF38763}"/>
                </a:ext>
              </a:extLst>
            </xdr:cNvPr>
            <xdr:cNvGraphicFramePr/>
          </xdr:nvGraphicFramePr>
          <xdr:xfrm>
            <a:off x="0" y="0"/>
            <a:ext cx="0" cy="0"/>
          </xdr:xfrm>
          <a:graphic>
            <a:graphicData uri="http://schemas.microsoft.com/office/drawing/2010/slicer">
              <sle:slicer xmlns:sle="http://schemas.microsoft.com/office/drawing/2010/slicer" name="CustomerName 2"/>
            </a:graphicData>
          </a:graphic>
        </xdr:graphicFrame>
      </mc:Choice>
      <mc:Fallback xmlns="">
        <xdr:sp macro="" textlink="">
          <xdr:nvSpPr>
            <xdr:cNvPr id="0" name=""/>
            <xdr:cNvSpPr>
              <a:spLocks noTextEdit="1"/>
            </xdr:cNvSpPr>
          </xdr:nvSpPr>
          <xdr:spPr>
            <a:xfrm>
              <a:off x="9167449" y="2294854"/>
              <a:ext cx="1833418" cy="195152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46758</xdr:colOff>
      <xdr:row>24</xdr:row>
      <xdr:rowOff>23740</xdr:rowOff>
    </xdr:from>
    <xdr:to>
      <xdr:col>18</xdr:col>
      <xdr:colOff>51376</xdr:colOff>
      <xdr:row>33</xdr:row>
      <xdr:rowOff>145142</xdr:rowOff>
    </xdr:to>
    <mc:AlternateContent xmlns:mc="http://schemas.openxmlformats.org/markup-compatibility/2006" xmlns:a14="http://schemas.microsoft.com/office/drawing/2010/main">
      <mc:Choice Requires="a14">
        <xdr:graphicFrame macro="">
          <xdr:nvGraphicFramePr>
            <xdr:cNvPr id="8" name="State 2">
              <a:extLst>
                <a:ext uri="{FF2B5EF4-FFF2-40B4-BE49-F238E27FC236}">
                  <a16:creationId xmlns:a16="http://schemas.microsoft.com/office/drawing/2014/main" id="{7A826969-B880-4321-945A-68F6B166501E}"/>
                </a:ext>
              </a:extLst>
            </xdr:cNvPr>
            <xdr:cNvGraphicFramePr/>
          </xdr:nvGraphicFramePr>
          <xdr:xfrm>
            <a:off x="0" y="0"/>
            <a:ext cx="0" cy="0"/>
          </xdr:xfrm>
          <a:graphic>
            <a:graphicData uri="http://schemas.microsoft.com/office/drawing/2010/slicer">
              <sle:slicer xmlns:sle="http://schemas.microsoft.com/office/drawing/2010/slicer" name="State 2"/>
            </a:graphicData>
          </a:graphic>
        </xdr:graphicFrame>
      </mc:Choice>
      <mc:Fallback xmlns="">
        <xdr:sp macro="" textlink="">
          <xdr:nvSpPr>
            <xdr:cNvPr id="0" name=""/>
            <xdr:cNvSpPr>
              <a:spLocks noTextEdit="1"/>
            </xdr:cNvSpPr>
          </xdr:nvSpPr>
          <xdr:spPr>
            <a:xfrm>
              <a:off x="9190758" y="4412860"/>
              <a:ext cx="1833418" cy="176732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41511</xdr:colOff>
      <xdr:row>2</xdr:row>
      <xdr:rowOff>136347</xdr:rowOff>
    </xdr:from>
    <xdr:to>
      <xdr:col>18</xdr:col>
      <xdr:colOff>46129</xdr:colOff>
      <xdr:row>11</xdr:row>
      <xdr:rowOff>117929</xdr:rowOff>
    </xdr:to>
    <mc:AlternateContent xmlns:mc="http://schemas.openxmlformats.org/markup-compatibility/2006" xmlns:a14="http://schemas.microsoft.com/office/drawing/2010/main">
      <mc:Choice Requires="a14">
        <xdr:graphicFrame macro="">
          <xdr:nvGraphicFramePr>
            <xdr:cNvPr id="9" name="City 2">
              <a:extLst>
                <a:ext uri="{FF2B5EF4-FFF2-40B4-BE49-F238E27FC236}">
                  <a16:creationId xmlns:a16="http://schemas.microsoft.com/office/drawing/2014/main" id="{D12562D1-510A-484C-A464-E4DED8E3F521}"/>
                </a:ext>
              </a:extLst>
            </xdr:cNvPr>
            <xdr:cNvGraphicFramePr/>
          </xdr:nvGraphicFramePr>
          <xdr:xfrm>
            <a:off x="0" y="0"/>
            <a:ext cx="0" cy="0"/>
          </xdr:xfrm>
          <a:graphic>
            <a:graphicData uri="http://schemas.microsoft.com/office/drawing/2010/slicer">
              <sle:slicer xmlns:sle="http://schemas.microsoft.com/office/drawing/2010/slicer" name="City 2"/>
            </a:graphicData>
          </a:graphic>
        </xdr:graphicFrame>
      </mc:Choice>
      <mc:Fallback xmlns="">
        <xdr:sp macro="" textlink="">
          <xdr:nvSpPr>
            <xdr:cNvPr id="0" name=""/>
            <xdr:cNvSpPr>
              <a:spLocks noTextEdit="1"/>
            </xdr:cNvSpPr>
          </xdr:nvSpPr>
          <xdr:spPr>
            <a:xfrm>
              <a:off x="9185511" y="502107"/>
              <a:ext cx="1833418" cy="162750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54429</xdr:colOff>
      <xdr:row>12</xdr:row>
      <xdr:rowOff>36287</xdr:rowOff>
    </xdr:from>
    <xdr:to>
      <xdr:col>11</xdr:col>
      <xdr:colOff>235857</xdr:colOff>
      <xdr:row>13</xdr:row>
      <xdr:rowOff>90716</xdr:rowOff>
    </xdr:to>
    <xdr:sp macro="" textlink="">
      <xdr:nvSpPr>
        <xdr:cNvPr id="10" name="TextBox 9">
          <a:extLst>
            <a:ext uri="{FF2B5EF4-FFF2-40B4-BE49-F238E27FC236}">
              <a16:creationId xmlns:a16="http://schemas.microsoft.com/office/drawing/2014/main" id="{E646D939-F904-4CD5-A870-6310D3E40E98}"/>
            </a:ext>
          </a:extLst>
        </xdr:cNvPr>
        <xdr:cNvSpPr txBox="1"/>
      </xdr:nvSpPr>
      <xdr:spPr>
        <a:xfrm>
          <a:off x="3712029" y="2230847"/>
          <a:ext cx="3229428" cy="237309"/>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1"/>
              </a:solidFill>
            </a:rPr>
            <a:t>CUSTOMER</a:t>
          </a:r>
          <a:r>
            <a:rPr lang="en-US" sz="1400" b="1" baseline="0">
              <a:solidFill>
                <a:schemeClr val="bg1"/>
              </a:solidFill>
            </a:rPr>
            <a:t> </a:t>
          </a:r>
          <a:r>
            <a:rPr lang="en-US" sz="1400" b="1">
              <a:solidFill>
                <a:schemeClr val="bg1"/>
              </a:solidFill>
            </a:rPr>
            <a:t>ORDER IN CITIES</a:t>
          </a:r>
        </a:p>
      </xdr:txBody>
    </xdr:sp>
    <xdr:clientData/>
  </xdr:twoCellAnchor>
  <xdr:twoCellAnchor>
    <xdr:from>
      <xdr:col>7</xdr:col>
      <xdr:colOff>441961</xdr:colOff>
      <xdr:row>24</xdr:row>
      <xdr:rowOff>81642</xdr:rowOff>
    </xdr:from>
    <xdr:to>
      <xdr:col>13</xdr:col>
      <xdr:colOff>290287</xdr:colOff>
      <xdr:row>25</xdr:row>
      <xdr:rowOff>154214</xdr:rowOff>
    </xdr:to>
    <xdr:sp macro="" textlink="">
      <xdr:nvSpPr>
        <xdr:cNvPr id="11" name="TextBox 10">
          <a:extLst>
            <a:ext uri="{FF2B5EF4-FFF2-40B4-BE49-F238E27FC236}">
              <a16:creationId xmlns:a16="http://schemas.microsoft.com/office/drawing/2014/main" id="{882BCE28-3948-4301-B0E4-C68B46F267D0}"/>
            </a:ext>
          </a:extLst>
        </xdr:cNvPr>
        <xdr:cNvSpPr txBox="1"/>
      </xdr:nvSpPr>
      <xdr:spPr>
        <a:xfrm>
          <a:off x="4709161" y="4470762"/>
          <a:ext cx="3505926" cy="255452"/>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bg1"/>
              </a:solidFill>
            </a:rPr>
            <a:t>TOP 3</a:t>
          </a:r>
          <a:r>
            <a:rPr lang="en-US" sz="1600" b="1" baseline="0">
              <a:solidFill>
                <a:schemeClr val="bg1"/>
              </a:solidFill>
            </a:rPr>
            <a:t> </a:t>
          </a:r>
          <a:r>
            <a:rPr lang="en-US" sz="1600" b="1">
              <a:solidFill>
                <a:schemeClr val="bg1"/>
              </a:solidFill>
            </a:rPr>
            <a:t>CUSTOMER ORDER</a:t>
          </a:r>
          <a:r>
            <a:rPr lang="en-US" sz="1600" b="1" baseline="0">
              <a:solidFill>
                <a:schemeClr val="bg1"/>
              </a:solidFill>
            </a:rPr>
            <a:t> FREQUENTLY</a:t>
          </a:r>
          <a:endParaRPr lang="en-US" sz="1600" b="1">
            <a:solidFill>
              <a:schemeClr val="bg1"/>
            </a:solidFill>
          </a:endParaRPr>
        </a:p>
      </xdr:txBody>
    </xdr:sp>
    <xdr:clientData/>
  </xdr:twoCellAnchor>
  <xdr:twoCellAnchor editAs="oneCell">
    <xdr:from>
      <xdr:col>9</xdr:col>
      <xdr:colOff>517071</xdr:colOff>
      <xdr:row>7</xdr:row>
      <xdr:rowOff>726</xdr:rowOff>
    </xdr:from>
    <xdr:to>
      <xdr:col>14</xdr:col>
      <xdr:colOff>544285</xdr:colOff>
      <xdr:row>13</xdr:row>
      <xdr:rowOff>76926</xdr:rowOff>
    </xdr:to>
    <mc:AlternateContent xmlns:mc="http://schemas.openxmlformats.org/markup-compatibility/2006">
      <mc:Choice xmlns:tsle="http://schemas.microsoft.com/office/drawing/2012/timeslicer" Requires="tsle">
        <xdr:graphicFrame macro="">
          <xdr:nvGraphicFramePr>
            <xdr:cNvPr id="12" name="Order Date 2">
              <a:extLst>
                <a:ext uri="{FF2B5EF4-FFF2-40B4-BE49-F238E27FC236}">
                  <a16:creationId xmlns:a16="http://schemas.microsoft.com/office/drawing/2014/main" id="{E4961517-539D-414C-B728-FB20399C115A}"/>
                </a:ext>
              </a:extLst>
            </xdr:cNvPr>
            <xdr:cNvGraphicFramePr/>
          </xdr:nvGraphicFramePr>
          <xdr:xfrm>
            <a:off x="0" y="0"/>
            <a:ext cx="0" cy="0"/>
          </xdr:xfrm>
          <a:graphic>
            <a:graphicData uri="http://schemas.microsoft.com/office/drawing/2012/timeslicer">
              <tsle:timeslicer xmlns:tsle="http://schemas.microsoft.com/office/drawing/2012/timeslicer" name="Order Date 2"/>
            </a:graphicData>
          </a:graphic>
        </xdr:graphicFrame>
      </mc:Choice>
      <mc:Fallback>
        <xdr:sp macro="" textlink="">
          <xdr:nvSpPr>
            <xdr:cNvPr id="0" name=""/>
            <xdr:cNvSpPr>
              <a:spLocks noTextEdit="1"/>
            </xdr:cNvSpPr>
          </xdr:nvSpPr>
          <xdr:spPr>
            <a:xfrm>
              <a:off x="5968302" y="1300034"/>
              <a:ext cx="3055675" cy="1189892"/>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1</xdr:col>
      <xdr:colOff>442783</xdr:colOff>
      <xdr:row>13</xdr:row>
      <xdr:rowOff>48469</xdr:rowOff>
    </xdr:from>
    <xdr:to>
      <xdr:col>5</xdr:col>
      <xdr:colOff>360404</xdr:colOff>
      <xdr:row>15</xdr:row>
      <xdr:rowOff>175056</xdr:rowOff>
    </xdr:to>
    <xdr:sp macro="" textlink="">
      <xdr:nvSpPr>
        <xdr:cNvPr id="14" name="TextBox 13">
          <a:hlinkClick xmlns:r="http://schemas.openxmlformats.org/officeDocument/2006/relationships" r:id="rId4"/>
          <a:extLst>
            <a:ext uri="{FF2B5EF4-FFF2-40B4-BE49-F238E27FC236}">
              <a16:creationId xmlns:a16="http://schemas.microsoft.com/office/drawing/2014/main" id="{753BDA1F-6CB3-44CE-A40F-C40AFEA6B522}"/>
            </a:ext>
          </a:extLst>
        </xdr:cNvPr>
        <xdr:cNvSpPr txBox="1"/>
      </xdr:nvSpPr>
      <xdr:spPr>
        <a:xfrm>
          <a:off x="1052383" y="2425909"/>
          <a:ext cx="2356021" cy="49234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1"/>
            <a:t>ORDER</a:t>
          </a:r>
        </a:p>
      </xdr:txBody>
    </xdr:sp>
    <xdr:clientData/>
  </xdr:twoCellAnchor>
  <xdr:twoCellAnchor>
    <xdr:from>
      <xdr:col>1</xdr:col>
      <xdr:colOff>461318</xdr:colOff>
      <xdr:row>17</xdr:row>
      <xdr:rowOff>5221</xdr:rowOff>
    </xdr:from>
    <xdr:to>
      <xdr:col>5</xdr:col>
      <xdr:colOff>378939</xdr:colOff>
      <xdr:row>19</xdr:row>
      <xdr:rowOff>131807</xdr:rowOff>
    </xdr:to>
    <xdr:sp macro="" textlink="">
      <xdr:nvSpPr>
        <xdr:cNvPr id="15" name="TextBox 14">
          <a:hlinkClick xmlns:r="http://schemas.openxmlformats.org/officeDocument/2006/relationships" r:id="rId1"/>
          <a:extLst>
            <a:ext uri="{FF2B5EF4-FFF2-40B4-BE49-F238E27FC236}">
              <a16:creationId xmlns:a16="http://schemas.microsoft.com/office/drawing/2014/main" id="{A3E78082-1EEE-411B-9814-E879B43D66DE}"/>
            </a:ext>
          </a:extLst>
        </xdr:cNvPr>
        <xdr:cNvSpPr txBox="1"/>
      </xdr:nvSpPr>
      <xdr:spPr>
        <a:xfrm>
          <a:off x="1070918" y="3114181"/>
          <a:ext cx="2356021" cy="49234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1"/>
            <a:t>CUSTOMER</a:t>
          </a:r>
        </a:p>
      </xdr:txBody>
    </xdr:sp>
    <xdr:clientData/>
  </xdr:twoCellAnchor>
  <xdr:twoCellAnchor>
    <xdr:from>
      <xdr:col>1</xdr:col>
      <xdr:colOff>469556</xdr:colOff>
      <xdr:row>20</xdr:row>
      <xdr:rowOff>157621</xdr:rowOff>
    </xdr:from>
    <xdr:to>
      <xdr:col>5</xdr:col>
      <xdr:colOff>387177</xdr:colOff>
      <xdr:row>23</xdr:row>
      <xdr:rowOff>98856</xdr:rowOff>
    </xdr:to>
    <xdr:sp macro="" textlink="">
      <xdr:nvSpPr>
        <xdr:cNvPr id="16" name="TextBox 15">
          <a:hlinkClick xmlns:r="http://schemas.openxmlformats.org/officeDocument/2006/relationships" r:id="rId5"/>
          <a:extLst>
            <a:ext uri="{FF2B5EF4-FFF2-40B4-BE49-F238E27FC236}">
              <a16:creationId xmlns:a16="http://schemas.microsoft.com/office/drawing/2014/main" id="{1089A961-E967-4787-9E6F-66EDA9AD7192}"/>
            </a:ext>
          </a:extLst>
        </xdr:cNvPr>
        <xdr:cNvSpPr txBox="1"/>
      </xdr:nvSpPr>
      <xdr:spPr>
        <a:xfrm>
          <a:off x="1079156" y="3815221"/>
          <a:ext cx="2356021" cy="4898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1"/>
            <a:t>CITIES</a:t>
          </a:r>
        </a:p>
      </xdr:txBody>
    </xdr:sp>
    <xdr:clientData/>
  </xdr:twoCellAnchor>
  <xdr:twoCellAnchor>
    <xdr:from>
      <xdr:col>1</xdr:col>
      <xdr:colOff>477794</xdr:colOff>
      <xdr:row>24</xdr:row>
      <xdr:rowOff>124670</xdr:rowOff>
    </xdr:from>
    <xdr:to>
      <xdr:col>5</xdr:col>
      <xdr:colOff>395415</xdr:colOff>
      <xdr:row>27</xdr:row>
      <xdr:rowOff>65905</xdr:rowOff>
    </xdr:to>
    <xdr:sp macro="" textlink="">
      <xdr:nvSpPr>
        <xdr:cNvPr id="17" name="TextBox 16">
          <a:hlinkClick xmlns:r="http://schemas.openxmlformats.org/officeDocument/2006/relationships" r:id="rId6"/>
          <a:extLst>
            <a:ext uri="{FF2B5EF4-FFF2-40B4-BE49-F238E27FC236}">
              <a16:creationId xmlns:a16="http://schemas.microsoft.com/office/drawing/2014/main" id="{5A044175-39BD-4DDD-8BD2-4AB7FA99DC8E}"/>
            </a:ext>
          </a:extLst>
        </xdr:cNvPr>
        <xdr:cNvSpPr txBox="1"/>
      </xdr:nvSpPr>
      <xdr:spPr>
        <a:xfrm>
          <a:off x="1087394" y="4513790"/>
          <a:ext cx="2356021" cy="4898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1"/>
            <a:t>STATE</a:t>
          </a:r>
        </a:p>
      </xdr:txBody>
    </xdr:sp>
    <xdr:clientData/>
  </xdr:twoCellAnchor>
  <xdr:twoCellAnchor>
    <xdr:from>
      <xdr:col>1</xdr:col>
      <xdr:colOff>441960</xdr:colOff>
      <xdr:row>9</xdr:row>
      <xdr:rowOff>121920</xdr:rowOff>
    </xdr:from>
    <xdr:to>
      <xdr:col>5</xdr:col>
      <xdr:colOff>350520</xdr:colOff>
      <xdr:row>12</xdr:row>
      <xdr:rowOff>91440</xdr:rowOff>
    </xdr:to>
    <xdr:sp macro="" textlink="">
      <xdr:nvSpPr>
        <xdr:cNvPr id="19" name="TextBox 18">
          <a:hlinkClick xmlns:r="http://schemas.openxmlformats.org/officeDocument/2006/relationships" r:id="rId7"/>
          <a:extLst>
            <a:ext uri="{FF2B5EF4-FFF2-40B4-BE49-F238E27FC236}">
              <a16:creationId xmlns:a16="http://schemas.microsoft.com/office/drawing/2014/main" id="{FFE4C10E-3A87-4620-900E-E4E5B7833427}"/>
            </a:ext>
          </a:extLst>
        </xdr:cNvPr>
        <xdr:cNvSpPr txBox="1"/>
      </xdr:nvSpPr>
      <xdr:spPr>
        <a:xfrm>
          <a:off x="1051560" y="1767840"/>
          <a:ext cx="2346960" cy="5181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t>DASHBOARD</a:t>
          </a:r>
        </a:p>
      </xdr:txBody>
    </xdr:sp>
    <xdr:clientData/>
  </xdr:twoCellAnchor>
  <xdr:twoCellAnchor>
    <xdr:from>
      <xdr:col>6</xdr:col>
      <xdr:colOff>113210</xdr:colOff>
      <xdr:row>14</xdr:row>
      <xdr:rowOff>23586</xdr:rowOff>
    </xdr:from>
    <xdr:to>
      <xdr:col>13</xdr:col>
      <xdr:colOff>594359</xdr:colOff>
      <xdr:row>24</xdr:row>
      <xdr:rowOff>53340</xdr:rowOff>
    </xdr:to>
    <mc:AlternateContent xmlns:mc="http://schemas.openxmlformats.org/markup-compatibility/2006">
      <mc:Choice xmlns:cx1="http://schemas.microsoft.com/office/drawing/2015/9/8/chartex" Requires="cx1">
        <xdr:graphicFrame macro="">
          <xdr:nvGraphicFramePr>
            <xdr:cNvPr id="20" name="Chart 19">
              <a:extLst>
                <a:ext uri="{FF2B5EF4-FFF2-40B4-BE49-F238E27FC236}">
                  <a16:creationId xmlns:a16="http://schemas.microsoft.com/office/drawing/2014/main" id="{155973CD-86F9-4D07-8D88-76C81674FA7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3770810" y="2583906"/>
              <a:ext cx="4748349" cy="1858554"/>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8</xdr:col>
      <xdr:colOff>7696</xdr:colOff>
      <xdr:row>26</xdr:row>
      <xdr:rowOff>30480</xdr:rowOff>
    </xdr:from>
    <xdr:to>
      <xdr:col>13</xdr:col>
      <xdr:colOff>411480</xdr:colOff>
      <xdr:row>35</xdr:row>
      <xdr:rowOff>117968</xdr:rowOff>
    </xdr:to>
    <xdr:graphicFrame macro="">
      <xdr:nvGraphicFramePr>
        <xdr:cNvPr id="21" name="Chart 20">
          <a:extLst>
            <a:ext uri="{FF2B5EF4-FFF2-40B4-BE49-F238E27FC236}">
              <a16:creationId xmlns:a16="http://schemas.microsoft.com/office/drawing/2014/main" id="{3D441E8C-CC1C-4C0C-81FC-CE0A0F8B07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xdr:col>
      <xdr:colOff>411891</xdr:colOff>
      <xdr:row>0</xdr:row>
      <xdr:rowOff>130847</xdr:rowOff>
    </xdr:from>
    <xdr:to>
      <xdr:col>18</xdr:col>
      <xdr:colOff>407939</xdr:colOff>
      <xdr:row>35</xdr:row>
      <xdr:rowOff>130847</xdr:rowOff>
    </xdr:to>
    <xdr:sp macro="" textlink="">
      <xdr:nvSpPr>
        <xdr:cNvPr id="2" name="Rectangle: Rounded Corners 1">
          <a:extLst>
            <a:ext uri="{FF2B5EF4-FFF2-40B4-BE49-F238E27FC236}">
              <a16:creationId xmlns:a16="http://schemas.microsoft.com/office/drawing/2014/main" id="{567086F6-6B34-4028-BE3B-FF434019391C}"/>
            </a:ext>
          </a:extLst>
        </xdr:cNvPr>
        <xdr:cNvSpPr/>
      </xdr:nvSpPr>
      <xdr:spPr>
        <a:xfrm>
          <a:off x="1021491" y="130847"/>
          <a:ext cx="10359248" cy="6400800"/>
        </a:xfrm>
        <a:prstGeom prst="roundRect">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7696</xdr:colOff>
      <xdr:row>0</xdr:row>
      <xdr:rowOff>146241</xdr:rowOff>
    </xdr:from>
    <xdr:to>
      <xdr:col>18</xdr:col>
      <xdr:colOff>400241</xdr:colOff>
      <xdr:row>35</xdr:row>
      <xdr:rowOff>130848</xdr:rowOff>
    </xdr:to>
    <xdr:sp macro="" textlink="">
      <xdr:nvSpPr>
        <xdr:cNvPr id="3" name="Rectangle: Rounded Corners 2">
          <a:extLst>
            <a:ext uri="{FF2B5EF4-FFF2-40B4-BE49-F238E27FC236}">
              <a16:creationId xmlns:a16="http://schemas.microsoft.com/office/drawing/2014/main" id="{79F57C49-60A6-47C3-ABDE-10B55603D29F}"/>
            </a:ext>
          </a:extLst>
        </xdr:cNvPr>
        <xdr:cNvSpPr/>
      </xdr:nvSpPr>
      <xdr:spPr>
        <a:xfrm>
          <a:off x="3055696" y="146241"/>
          <a:ext cx="8317345" cy="6385407"/>
        </a:xfrm>
        <a:prstGeom prst="roundRect">
          <a:avLst/>
        </a:prstGeom>
        <a:gradFill flip="none" rotWithShape="1">
          <a:gsLst>
            <a:gs pos="0">
              <a:schemeClr val="accent6">
                <a:lumMod val="40000"/>
                <a:lumOff val="60000"/>
                <a:shade val="30000"/>
                <a:satMod val="115000"/>
              </a:schemeClr>
            </a:gs>
            <a:gs pos="50000">
              <a:schemeClr val="accent6">
                <a:lumMod val="40000"/>
                <a:lumOff val="60000"/>
                <a:shade val="67500"/>
                <a:satMod val="115000"/>
              </a:schemeClr>
            </a:gs>
            <a:gs pos="100000">
              <a:schemeClr val="accent6">
                <a:lumMod val="40000"/>
                <a:lumOff val="60000"/>
                <a:shade val="100000"/>
                <a:satMod val="115000"/>
              </a:schemeClr>
            </a:gs>
          </a:gsLst>
          <a:lin ang="13500000" scaled="1"/>
          <a:tileRect/>
        </a:gra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438728</xdr:colOff>
      <xdr:row>2</xdr:row>
      <xdr:rowOff>92363</xdr:rowOff>
    </xdr:from>
    <xdr:to>
      <xdr:col>14</xdr:col>
      <xdr:colOff>592667</xdr:colOff>
      <xdr:row>6</xdr:row>
      <xdr:rowOff>0</xdr:rowOff>
    </xdr:to>
    <xdr:sp macro="" textlink="">
      <xdr:nvSpPr>
        <xdr:cNvPr id="4" name="TextBox 3">
          <a:hlinkClick xmlns:r="http://schemas.openxmlformats.org/officeDocument/2006/relationships" r:id="rId1"/>
          <a:extLst>
            <a:ext uri="{FF2B5EF4-FFF2-40B4-BE49-F238E27FC236}">
              <a16:creationId xmlns:a16="http://schemas.microsoft.com/office/drawing/2014/main" id="{96D59757-6941-40ED-800A-36D7D690B112}"/>
            </a:ext>
          </a:extLst>
        </xdr:cNvPr>
        <xdr:cNvSpPr txBox="1"/>
      </xdr:nvSpPr>
      <xdr:spPr>
        <a:xfrm>
          <a:off x="4705928" y="458123"/>
          <a:ext cx="4421139" cy="63915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3200" b="1"/>
            <a:t>CITIES</a:t>
          </a:r>
        </a:p>
      </xdr:txBody>
    </xdr:sp>
    <xdr:clientData/>
  </xdr:twoCellAnchor>
  <xdr:twoCellAnchor editAs="oneCell">
    <xdr:from>
      <xdr:col>5</xdr:col>
      <xdr:colOff>346363</xdr:colOff>
      <xdr:row>7</xdr:row>
      <xdr:rowOff>61576</xdr:rowOff>
    </xdr:from>
    <xdr:to>
      <xdr:col>6</xdr:col>
      <xdr:colOff>523393</xdr:colOff>
      <xdr:row>11</xdr:row>
      <xdr:rowOff>23091</xdr:rowOff>
    </xdr:to>
    <xdr:pic>
      <xdr:nvPicPr>
        <xdr:cNvPr id="5" name="Graphic 4" descr="Bar chart with solid fill">
          <a:extLst>
            <a:ext uri="{FF2B5EF4-FFF2-40B4-BE49-F238E27FC236}">
              <a16:creationId xmlns:a16="http://schemas.microsoft.com/office/drawing/2014/main" id="{3902B876-F443-4C87-A74D-E85EBCA6500D}"/>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3394363" y="1341736"/>
          <a:ext cx="786630" cy="693035"/>
        </a:xfrm>
        <a:prstGeom prst="rect">
          <a:avLst/>
        </a:prstGeom>
      </xdr:spPr>
    </xdr:pic>
    <xdr:clientData/>
  </xdr:twoCellAnchor>
  <xdr:twoCellAnchor>
    <xdr:from>
      <xdr:col>7</xdr:col>
      <xdr:colOff>61576</xdr:colOff>
      <xdr:row>8</xdr:row>
      <xdr:rowOff>7697</xdr:rowOff>
    </xdr:from>
    <xdr:to>
      <xdr:col>10</xdr:col>
      <xdr:colOff>523394</xdr:colOff>
      <xdr:row>10</xdr:row>
      <xdr:rowOff>107757</xdr:rowOff>
    </xdr:to>
    <xdr:sp macro="" textlink="">
      <xdr:nvSpPr>
        <xdr:cNvPr id="6" name="TextBox 5">
          <a:extLst>
            <a:ext uri="{FF2B5EF4-FFF2-40B4-BE49-F238E27FC236}">
              <a16:creationId xmlns:a16="http://schemas.microsoft.com/office/drawing/2014/main" id="{FC329D2C-5417-493B-B75A-D82D9CAB784B}"/>
            </a:ext>
          </a:extLst>
        </xdr:cNvPr>
        <xdr:cNvSpPr txBox="1"/>
      </xdr:nvSpPr>
      <xdr:spPr>
        <a:xfrm>
          <a:off x="4328776" y="1470737"/>
          <a:ext cx="2290618" cy="46582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t>ANALYTICS</a:t>
          </a:r>
        </a:p>
      </xdr:txBody>
    </xdr:sp>
    <xdr:clientData/>
  </xdr:twoCellAnchor>
  <xdr:twoCellAnchor editAs="oneCell">
    <xdr:from>
      <xdr:col>15</xdr:col>
      <xdr:colOff>23449</xdr:colOff>
      <xdr:row>12</xdr:row>
      <xdr:rowOff>100294</xdr:rowOff>
    </xdr:from>
    <xdr:to>
      <xdr:col>18</xdr:col>
      <xdr:colOff>28067</xdr:colOff>
      <xdr:row>23</xdr:row>
      <xdr:rowOff>40135</xdr:rowOff>
    </xdr:to>
    <mc:AlternateContent xmlns:mc="http://schemas.openxmlformats.org/markup-compatibility/2006" xmlns:a14="http://schemas.microsoft.com/office/drawing/2010/main">
      <mc:Choice Requires="a14">
        <xdr:graphicFrame macro="">
          <xdr:nvGraphicFramePr>
            <xdr:cNvPr id="7" name="CustomerName 3">
              <a:extLst>
                <a:ext uri="{FF2B5EF4-FFF2-40B4-BE49-F238E27FC236}">
                  <a16:creationId xmlns:a16="http://schemas.microsoft.com/office/drawing/2014/main" id="{2C4ED7D7-5ABF-4132-AEF1-39B8A288B474}"/>
                </a:ext>
              </a:extLst>
            </xdr:cNvPr>
            <xdr:cNvGraphicFramePr/>
          </xdr:nvGraphicFramePr>
          <xdr:xfrm>
            <a:off x="0" y="0"/>
            <a:ext cx="0" cy="0"/>
          </xdr:xfrm>
          <a:graphic>
            <a:graphicData uri="http://schemas.microsoft.com/office/drawing/2010/slicer">
              <sle:slicer xmlns:sle="http://schemas.microsoft.com/office/drawing/2010/slicer" name="CustomerName 3"/>
            </a:graphicData>
          </a:graphic>
        </xdr:graphicFrame>
      </mc:Choice>
      <mc:Fallback xmlns="">
        <xdr:sp macro="" textlink="">
          <xdr:nvSpPr>
            <xdr:cNvPr id="0" name=""/>
            <xdr:cNvSpPr>
              <a:spLocks noTextEdit="1"/>
            </xdr:cNvSpPr>
          </xdr:nvSpPr>
          <xdr:spPr>
            <a:xfrm>
              <a:off x="9167449" y="2294854"/>
              <a:ext cx="1833418" cy="195152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46758</xdr:colOff>
      <xdr:row>24</xdr:row>
      <xdr:rowOff>23740</xdr:rowOff>
    </xdr:from>
    <xdr:to>
      <xdr:col>18</xdr:col>
      <xdr:colOff>51376</xdr:colOff>
      <xdr:row>33</xdr:row>
      <xdr:rowOff>145142</xdr:rowOff>
    </xdr:to>
    <mc:AlternateContent xmlns:mc="http://schemas.openxmlformats.org/markup-compatibility/2006" xmlns:a14="http://schemas.microsoft.com/office/drawing/2010/main">
      <mc:Choice Requires="a14">
        <xdr:graphicFrame macro="">
          <xdr:nvGraphicFramePr>
            <xdr:cNvPr id="8" name="State 3">
              <a:extLst>
                <a:ext uri="{FF2B5EF4-FFF2-40B4-BE49-F238E27FC236}">
                  <a16:creationId xmlns:a16="http://schemas.microsoft.com/office/drawing/2014/main" id="{D0DB99A6-F90C-4CB7-BB74-C8884CDECFCD}"/>
                </a:ext>
              </a:extLst>
            </xdr:cNvPr>
            <xdr:cNvGraphicFramePr/>
          </xdr:nvGraphicFramePr>
          <xdr:xfrm>
            <a:off x="0" y="0"/>
            <a:ext cx="0" cy="0"/>
          </xdr:xfrm>
          <a:graphic>
            <a:graphicData uri="http://schemas.microsoft.com/office/drawing/2010/slicer">
              <sle:slicer xmlns:sle="http://schemas.microsoft.com/office/drawing/2010/slicer" name="State 3"/>
            </a:graphicData>
          </a:graphic>
        </xdr:graphicFrame>
      </mc:Choice>
      <mc:Fallback xmlns="">
        <xdr:sp macro="" textlink="">
          <xdr:nvSpPr>
            <xdr:cNvPr id="0" name=""/>
            <xdr:cNvSpPr>
              <a:spLocks noTextEdit="1"/>
            </xdr:cNvSpPr>
          </xdr:nvSpPr>
          <xdr:spPr>
            <a:xfrm>
              <a:off x="9190758" y="4412860"/>
              <a:ext cx="1833418" cy="176732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41511</xdr:colOff>
      <xdr:row>2</xdr:row>
      <xdr:rowOff>136347</xdr:rowOff>
    </xdr:from>
    <xdr:to>
      <xdr:col>18</xdr:col>
      <xdr:colOff>46129</xdr:colOff>
      <xdr:row>11</xdr:row>
      <xdr:rowOff>117929</xdr:rowOff>
    </xdr:to>
    <mc:AlternateContent xmlns:mc="http://schemas.openxmlformats.org/markup-compatibility/2006" xmlns:a14="http://schemas.microsoft.com/office/drawing/2010/main">
      <mc:Choice Requires="a14">
        <xdr:graphicFrame macro="">
          <xdr:nvGraphicFramePr>
            <xdr:cNvPr id="9" name="City 3">
              <a:extLst>
                <a:ext uri="{FF2B5EF4-FFF2-40B4-BE49-F238E27FC236}">
                  <a16:creationId xmlns:a16="http://schemas.microsoft.com/office/drawing/2014/main" id="{35964B48-C188-46E3-9A3F-33E0E337CCA4}"/>
                </a:ext>
              </a:extLst>
            </xdr:cNvPr>
            <xdr:cNvGraphicFramePr/>
          </xdr:nvGraphicFramePr>
          <xdr:xfrm>
            <a:off x="0" y="0"/>
            <a:ext cx="0" cy="0"/>
          </xdr:xfrm>
          <a:graphic>
            <a:graphicData uri="http://schemas.microsoft.com/office/drawing/2010/slicer">
              <sle:slicer xmlns:sle="http://schemas.microsoft.com/office/drawing/2010/slicer" name="City 3"/>
            </a:graphicData>
          </a:graphic>
        </xdr:graphicFrame>
      </mc:Choice>
      <mc:Fallback xmlns="">
        <xdr:sp macro="" textlink="">
          <xdr:nvSpPr>
            <xdr:cNvPr id="0" name=""/>
            <xdr:cNvSpPr>
              <a:spLocks noTextEdit="1"/>
            </xdr:cNvSpPr>
          </xdr:nvSpPr>
          <xdr:spPr>
            <a:xfrm>
              <a:off x="9185511" y="502107"/>
              <a:ext cx="1833418" cy="162750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54429</xdr:colOff>
      <xdr:row>12</xdr:row>
      <xdr:rowOff>36287</xdr:rowOff>
    </xdr:from>
    <xdr:to>
      <xdr:col>11</xdr:col>
      <xdr:colOff>235857</xdr:colOff>
      <xdr:row>13</xdr:row>
      <xdr:rowOff>90716</xdr:rowOff>
    </xdr:to>
    <xdr:sp macro="" textlink="">
      <xdr:nvSpPr>
        <xdr:cNvPr id="10" name="TextBox 9">
          <a:extLst>
            <a:ext uri="{FF2B5EF4-FFF2-40B4-BE49-F238E27FC236}">
              <a16:creationId xmlns:a16="http://schemas.microsoft.com/office/drawing/2014/main" id="{D37C6E0F-0B27-48DC-9AC1-0C2BE4D451F3}"/>
            </a:ext>
          </a:extLst>
        </xdr:cNvPr>
        <xdr:cNvSpPr txBox="1"/>
      </xdr:nvSpPr>
      <xdr:spPr>
        <a:xfrm>
          <a:off x="3712029" y="2230847"/>
          <a:ext cx="3229428" cy="237309"/>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1"/>
              </a:solidFill>
            </a:rPr>
            <a:t> CITIES WISE ORDER</a:t>
          </a:r>
        </a:p>
      </xdr:txBody>
    </xdr:sp>
    <xdr:clientData/>
  </xdr:twoCellAnchor>
  <xdr:twoCellAnchor>
    <xdr:from>
      <xdr:col>8</xdr:col>
      <xdr:colOff>18143</xdr:colOff>
      <xdr:row>24</xdr:row>
      <xdr:rowOff>81642</xdr:rowOff>
    </xdr:from>
    <xdr:to>
      <xdr:col>13</xdr:col>
      <xdr:colOff>290286</xdr:colOff>
      <xdr:row>25</xdr:row>
      <xdr:rowOff>154214</xdr:rowOff>
    </xdr:to>
    <xdr:sp macro="" textlink="">
      <xdr:nvSpPr>
        <xdr:cNvPr id="11" name="TextBox 10">
          <a:extLst>
            <a:ext uri="{FF2B5EF4-FFF2-40B4-BE49-F238E27FC236}">
              <a16:creationId xmlns:a16="http://schemas.microsoft.com/office/drawing/2014/main" id="{BAFFEB54-24B0-4932-B9B1-8CA8DD133073}"/>
            </a:ext>
          </a:extLst>
        </xdr:cNvPr>
        <xdr:cNvSpPr txBox="1"/>
      </xdr:nvSpPr>
      <xdr:spPr>
        <a:xfrm>
          <a:off x="4894943" y="4470762"/>
          <a:ext cx="3320143" cy="255452"/>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bg1"/>
              </a:solidFill>
            </a:rPr>
            <a:t>TOP 3</a:t>
          </a:r>
          <a:r>
            <a:rPr lang="en-US" sz="1600" b="1" baseline="0">
              <a:solidFill>
                <a:schemeClr val="bg1"/>
              </a:solidFill>
            </a:rPr>
            <a:t> CITIES ORDER</a:t>
          </a:r>
          <a:endParaRPr lang="en-US" sz="1600" b="1">
            <a:solidFill>
              <a:schemeClr val="bg1"/>
            </a:solidFill>
          </a:endParaRPr>
        </a:p>
      </xdr:txBody>
    </xdr:sp>
    <xdr:clientData/>
  </xdr:twoCellAnchor>
  <xdr:twoCellAnchor editAs="oneCell">
    <xdr:from>
      <xdr:col>9</xdr:col>
      <xdr:colOff>501831</xdr:colOff>
      <xdr:row>7</xdr:row>
      <xdr:rowOff>15966</xdr:rowOff>
    </xdr:from>
    <xdr:to>
      <xdr:col>14</xdr:col>
      <xdr:colOff>529045</xdr:colOff>
      <xdr:row>13</xdr:row>
      <xdr:rowOff>92166</xdr:rowOff>
    </xdr:to>
    <mc:AlternateContent xmlns:mc="http://schemas.openxmlformats.org/markup-compatibility/2006">
      <mc:Choice xmlns:tsle="http://schemas.microsoft.com/office/drawing/2012/timeslicer" Requires="tsle">
        <xdr:graphicFrame macro="">
          <xdr:nvGraphicFramePr>
            <xdr:cNvPr id="12" name="Order Date 3">
              <a:extLst>
                <a:ext uri="{FF2B5EF4-FFF2-40B4-BE49-F238E27FC236}">
                  <a16:creationId xmlns:a16="http://schemas.microsoft.com/office/drawing/2014/main" id="{B6527EA4-DE86-4A9A-8240-A7E5D8C8B9E3}"/>
                </a:ext>
              </a:extLst>
            </xdr:cNvPr>
            <xdr:cNvGraphicFramePr/>
          </xdr:nvGraphicFramePr>
          <xdr:xfrm>
            <a:off x="0" y="0"/>
            <a:ext cx="0" cy="0"/>
          </xdr:xfrm>
          <a:graphic>
            <a:graphicData uri="http://schemas.microsoft.com/office/drawing/2012/timeslicer">
              <tsle:timeslicer xmlns:tsle="http://schemas.microsoft.com/office/drawing/2012/timeslicer" name="Order Date 3"/>
            </a:graphicData>
          </a:graphic>
        </xdr:graphicFrame>
      </mc:Choice>
      <mc:Fallback>
        <xdr:sp macro="" textlink="">
          <xdr:nvSpPr>
            <xdr:cNvPr id="0" name=""/>
            <xdr:cNvSpPr>
              <a:spLocks noTextEdit="1"/>
            </xdr:cNvSpPr>
          </xdr:nvSpPr>
          <xdr:spPr>
            <a:xfrm>
              <a:off x="5988231" y="1296126"/>
              <a:ext cx="3075214" cy="117348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1</xdr:col>
      <xdr:colOff>494332</xdr:colOff>
      <xdr:row>21</xdr:row>
      <xdr:rowOff>35934</xdr:rowOff>
    </xdr:from>
    <xdr:to>
      <xdr:col>5</xdr:col>
      <xdr:colOff>411953</xdr:colOff>
      <xdr:row>23</xdr:row>
      <xdr:rowOff>162520</xdr:rowOff>
    </xdr:to>
    <xdr:sp macro="" textlink="">
      <xdr:nvSpPr>
        <xdr:cNvPr id="15" name="TextBox 14">
          <a:hlinkClick xmlns:r="http://schemas.openxmlformats.org/officeDocument/2006/relationships" r:id="rId1"/>
          <a:extLst>
            <a:ext uri="{FF2B5EF4-FFF2-40B4-BE49-F238E27FC236}">
              <a16:creationId xmlns:a16="http://schemas.microsoft.com/office/drawing/2014/main" id="{CC6D3B7F-BA12-407F-95C4-F5FF457D090D}"/>
            </a:ext>
          </a:extLst>
        </xdr:cNvPr>
        <xdr:cNvSpPr txBox="1"/>
      </xdr:nvSpPr>
      <xdr:spPr>
        <a:xfrm>
          <a:off x="1103932" y="3876414"/>
          <a:ext cx="2356021" cy="49234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1"/>
            <a:t>CITIES</a:t>
          </a:r>
        </a:p>
      </xdr:txBody>
    </xdr:sp>
    <xdr:clientData/>
  </xdr:twoCellAnchor>
  <xdr:twoCellAnchor>
    <xdr:from>
      <xdr:col>1</xdr:col>
      <xdr:colOff>502571</xdr:colOff>
      <xdr:row>25</xdr:row>
      <xdr:rowOff>167740</xdr:rowOff>
    </xdr:from>
    <xdr:to>
      <xdr:col>5</xdr:col>
      <xdr:colOff>420192</xdr:colOff>
      <xdr:row>28</xdr:row>
      <xdr:rowOff>108975</xdr:rowOff>
    </xdr:to>
    <xdr:sp macro="" textlink="">
      <xdr:nvSpPr>
        <xdr:cNvPr id="16" name="TextBox 15">
          <a:hlinkClick xmlns:r="http://schemas.openxmlformats.org/officeDocument/2006/relationships" r:id="rId4"/>
          <a:extLst>
            <a:ext uri="{FF2B5EF4-FFF2-40B4-BE49-F238E27FC236}">
              <a16:creationId xmlns:a16="http://schemas.microsoft.com/office/drawing/2014/main" id="{E64E22C1-21AD-4A25-B0DA-72B731DA79B3}"/>
            </a:ext>
          </a:extLst>
        </xdr:cNvPr>
        <xdr:cNvSpPr txBox="1"/>
      </xdr:nvSpPr>
      <xdr:spPr>
        <a:xfrm>
          <a:off x="1112171" y="4739740"/>
          <a:ext cx="2356021" cy="4898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1"/>
            <a:t>STATE</a:t>
          </a:r>
        </a:p>
      </xdr:txBody>
    </xdr:sp>
    <xdr:clientData/>
  </xdr:twoCellAnchor>
  <xdr:twoCellAnchor>
    <xdr:from>
      <xdr:col>1</xdr:col>
      <xdr:colOff>481976</xdr:colOff>
      <xdr:row>13</xdr:row>
      <xdr:rowOff>13280</xdr:rowOff>
    </xdr:from>
    <xdr:to>
      <xdr:col>5</xdr:col>
      <xdr:colOff>399597</xdr:colOff>
      <xdr:row>15</xdr:row>
      <xdr:rowOff>139867</xdr:rowOff>
    </xdr:to>
    <xdr:sp macro="" textlink="">
      <xdr:nvSpPr>
        <xdr:cNvPr id="17" name="TextBox 16">
          <a:hlinkClick xmlns:r="http://schemas.openxmlformats.org/officeDocument/2006/relationships" r:id="rId5"/>
          <a:extLst>
            <a:ext uri="{FF2B5EF4-FFF2-40B4-BE49-F238E27FC236}">
              <a16:creationId xmlns:a16="http://schemas.microsoft.com/office/drawing/2014/main" id="{BF63D4D0-62A6-41FC-86D9-0FE8DE17D9D1}"/>
            </a:ext>
          </a:extLst>
        </xdr:cNvPr>
        <xdr:cNvSpPr txBox="1"/>
      </xdr:nvSpPr>
      <xdr:spPr>
        <a:xfrm>
          <a:off x="1091576" y="2390720"/>
          <a:ext cx="2356021" cy="49234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1"/>
            <a:t>ORDER</a:t>
          </a:r>
        </a:p>
      </xdr:txBody>
    </xdr:sp>
    <xdr:clientData/>
  </xdr:twoCellAnchor>
  <xdr:twoCellAnchor>
    <xdr:from>
      <xdr:col>1</xdr:col>
      <xdr:colOff>510807</xdr:colOff>
      <xdr:row>17</xdr:row>
      <xdr:rowOff>21518</xdr:rowOff>
    </xdr:from>
    <xdr:to>
      <xdr:col>5</xdr:col>
      <xdr:colOff>428428</xdr:colOff>
      <xdr:row>19</xdr:row>
      <xdr:rowOff>148104</xdr:rowOff>
    </xdr:to>
    <xdr:sp macro="" textlink="">
      <xdr:nvSpPr>
        <xdr:cNvPr id="18" name="TextBox 17">
          <a:hlinkClick xmlns:r="http://schemas.openxmlformats.org/officeDocument/2006/relationships" r:id="rId6"/>
          <a:extLst>
            <a:ext uri="{FF2B5EF4-FFF2-40B4-BE49-F238E27FC236}">
              <a16:creationId xmlns:a16="http://schemas.microsoft.com/office/drawing/2014/main" id="{A659B2BE-FF91-4377-90CC-0572173D6F9F}"/>
            </a:ext>
          </a:extLst>
        </xdr:cNvPr>
        <xdr:cNvSpPr txBox="1"/>
      </xdr:nvSpPr>
      <xdr:spPr>
        <a:xfrm>
          <a:off x="1120407" y="3130478"/>
          <a:ext cx="2356021" cy="49234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1"/>
            <a:t>CUSTOMER</a:t>
          </a:r>
        </a:p>
      </xdr:txBody>
    </xdr:sp>
    <xdr:clientData/>
  </xdr:twoCellAnchor>
  <xdr:twoCellAnchor>
    <xdr:from>
      <xdr:col>1</xdr:col>
      <xdr:colOff>472440</xdr:colOff>
      <xdr:row>9</xdr:row>
      <xdr:rowOff>76200</xdr:rowOff>
    </xdr:from>
    <xdr:to>
      <xdr:col>5</xdr:col>
      <xdr:colOff>381000</xdr:colOff>
      <xdr:row>12</xdr:row>
      <xdr:rowOff>45720</xdr:rowOff>
    </xdr:to>
    <xdr:sp macro="" textlink="">
      <xdr:nvSpPr>
        <xdr:cNvPr id="19" name="TextBox 18">
          <a:hlinkClick xmlns:r="http://schemas.openxmlformats.org/officeDocument/2006/relationships" r:id="rId7"/>
          <a:extLst>
            <a:ext uri="{FF2B5EF4-FFF2-40B4-BE49-F238E27FC236}">
              <a16:creationId xmlns:a16="http://schemas.microsoft.com/office/drawing/2014/main" id="{6DEF3BEA-A5C0-4920-AD00-A9D362085FF3}"/>
            </a:ext>
          </a:extLst>
        </xdr:cNvPr>
        <xdr:cNvSpPr txBox="1"/>
      </xdr:nvSpPr>
      <xdr:spPr>
        <a:xfrm>
          <a:off x="1082040" y="1722120"/>
          <a:ext cx="2346960" cy="5181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t>DASHBOARD</a:t>
          </a:r>
        </a:p>
      </xdr:txBody>
    </xdr:sp>
    <xdr:clientData/>
  </xdr:twoCellAnchor>
  <xdr:twoCellAnchor>
    <xdr:from>
      <xdr:col>6</xdr:col>
      <xdr:colOff>91440</xdr:colOff>
      <xdr:row>13</xdr:row>
      <xdr:rowOff>175260</xdr:rowOff>
    </xdr:from>
    <xdr:to>
      <xdr:col>13</xdr:col>
      <xdr:colOff>312420</xdr:colOff>
      <xdr:row>24</xdr:row>
      <xdr:rowOff>68580</xdr:rowOff>
    </xdr:to>
    <xdr:graphicFrame macro="">
      <xdr:nvGraphicFramePr>
        <xdr:cNvPr id="20" name="Chart 19">
          <a:extLst>
            <a:ext uri="{FF2B5EF4-FFF2-40B4-BE49-F238E27FC236}">
              <a16:creationId xmlns:a16="http://schemas.microsoft.com/office/drawing/2014/main" id="{A5C19A51-6800-434B-AFF0-7635A095A9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7</xdr:col>
      <xdr:colOff>601979</xdr:colOff>
      <xdr:row>26</xdr:row>
      <xdr:rowOff>7619</xdr:rowOff>
    </xdr:from>
    <xdr:to>
      <xdr:col>14</xdr:col>
      <xdr:colOff>0</xdr:colOff>
      <xdr:row>35</xdr:row>
      <xdr:rowOff>68580</xdr:rowOff>
    </xdr:to>
    <mc:AlternateContent xmlns:mc="http://schemas.openxmlformats.org/markup-compatibility/2006">
      <mc:Choice xmlns:cx1="http://schemas.microsoft.com/office/drawing/2015/9/8/chartex" Requires="cx1">
        <xdr:graphicFrame macro="">
          <xdr:nvGraphicFramePr>
            <xdr:cNvPr id="21" name="Chart 20">
              <a:extLst>
                <a:ext uri="{FF2B5EF4-FFF2-40B4-BE49-F238E27FC236}">
                  <a16:creationId xmlns:a16="http://schemas.microsoft.com/office/drawing/2014/main" id="{3A003D9E-9FB8-45FF-8365-1E731C782EE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9"/>
            </a:graphicData>
          </a:graphic>
        </xdr:graphicFrame>
      </mc:Choice>
      <mc:Fallback>
        <xdr:sp macro="" textlink="">
          <xdr:nvSpPr>
            <xdr:cNvPr id="0" name=""/>
            <xdr:cNvSpPr>
              <a:spLocks noTextEdit="1"/>
            </xdr:cNvSpPr>
          </xdr:nvSpPr>
          <xdr:spPr>
            <a:xfrm>
              <a:off x="4869179" y="4762499"/>
              <a:ext cx="3665221" cy="1706881"/>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1</xdr:col>
      <xdr:colOff>298621</xdr:colOff>
      <xdr:row>0</xdr:row>
      <xdr:rowOff>130847</xdr:rowOff>
    </xdr:from>
    <xdr:to>
      <xdr:col>18</xdr:col>
      <xdr:colOff>407939</xdr:colOff>
      <xdr:row>35</xdr:row>
      <xdr:rowOff>130847</xdr:rowOff>
    </xdr:to>
    <xdr:sp macro="" textlink="">
      <xdr:nvSpPr>
        <xdr:cNvPr id="2" name="Rectangle: Rounded Corners 1">
          <a:extLst>
            <a:ext uri="{FF2B5EF4-FFF2-40B4-BE49-F238E27FC236}">
              <a16:creationId xmlns:a16="http://schemas.microsoft.com/office/drawing/2014/main" id="{6E527929-7FE6-4AA2-8245-87B767413298}"/>
            </a:ext>
          </a:extLst>
        </xdr:cNvPr>
        <xdr:cNvSpPr/>
      </xdr:nvSpPr>
      <xdr:spPr>
        <a:xfrm>
          <a:off x="908221" y="130847"/>
          <a:ext cx="10472518" cy="6400800"/>
        </a:xfrm>
        <a:prstGeom prst="roundRect">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7696</xdr:colOff>
      <xdr:row>0</xdr:row>
      <xdr:rowOff>146241</xdr:rowOff>
    </xdr:from>
    <xdr:to>
      <xdr:col>18</xdr:col>
      <xdr:colOff>400241</xdr:colOff>
      <xdr:row>35</xdr:row>
      <xdr:rowOff>130848</xdr:rowOff>
    </xdr:to>
    <xdr:sp macro="" textlink="">
      <xdr:nvSpPr>
        <xdr:cNvPr id="3" name="Rectangle: Rounded Corners 2">
          <a:extLst>
            <a:ext uri="{FF2B5EF4-FFF2-40B4-BE49-F238E27FC236}">
              <a16:creationId xmlns:a16="http://schemas.microsoft.com/office/drawing/2014/main" id="{6092A02E-2E34-438F-8DA0-71D1A9979880}"/>
            </a:ext>
          </a:extLst>
        </xdr:cNvPr>
        <xdr:cNvSpPr/>
      </xdr:nvSpPr>
      <xdr:spPr>
        <a:xfrm>
          <a:off x="3055696" y="146241"/>
          <a:ext cx="8317345" cy="6385407"/>
        </a:xfrm>
        <a:prstGeom prst="roundRect">
          <a:avLst/>
        </a:prstGeom>
        <a:gradFill flip="none" rotWithShape="1">
          <a:gsLst>
            <a:gs pos="0">
              <a:schemeClr val="accent6">
                <a:lumMod val="40000"/>
                <a:lumOff val="60000"/>
                <a:shade val="30000"/>
                <a:satMod val="115000"/>
              </a:schemeClr>
            </a:gs>
            <a:gs pos="50000">
              <a:schemeClr val="accent6">
                <a:lumMod val="40000"/>
                <a:lumOff val="60000"/>
                <a:shade val="67500"/>
                <a:satMod val="115000"/>
              </a:schemeClr>
            </a:gs>
            <a:gs pos="100000">
              <a:schemeClr val="accent6">
                <a:lumMod val="40000"/>
                <a:lumOff val="60000"/>
                <a:shade val="100000"/>
                <a:satMod val="115000"/>
              </a:schemeClr>
            </a:gs>
          </a:gsLst>
          <a:lin ang="13500000" scaled="1"/>
          <a:tileRect/>
        </a:gra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438728</xdr:colOff>
      <xdr:row>2</xdr:row>
      <xdr:rowOff>92363</xdr:rowOff>
    </xdr:from>
    <xdr:to>
      <xdr:col>14</xdr:col>
      <xdr:colOff>592667</xdr:colOff>
      <xdr:row>6</xdr:row>
      <xdr:rowOff>0</xdr:rowOff>
    </xdr:to>
    <xdr:sp macro="" textlink="">
      <xdr:nvSpPr>
        <xdr:cNvPr id="4" name="TextBox 3">
          <a:hlinkClick xmlns:r="http://schemas.openxmlformats.org/officeDocument/2006/relationships" r:id="rId1"/>
          <a:extLst>
            <a:ext uri="{FF2B5EF4-FFF2-40B4-BE49-F238E27FC236}">
              <a16:creationId xmlns:a16="http://schemas.microsoft.com/office/drawing/2014/main" id="{5617CE13-7693-4A90-B1DB-227F30E8C6FD}"/>
            </a:ext>
          </a:extLst>
        </xdr:cNvPr>
        <xdr:cNvSpPr txBox="1"/>
      </xdr:nvSpPr>
      <xdr:spPr>
        <a:xfrm>
          <a:off x="4705928" y="458123"/>
          <a:ext cx="4421139" cy="63915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3200" b="1"/>
            <a:t>STATE</a:t>
          </a:r>
        </a:p>
      </xdr:txBody>
    </xdr:sp>
    <xdr:clientData/>
  </xdr:twoCellAnchor>
  <xdr:twoCellAnchor editAs="oneCell">
    <xdr:from>
      <xdr:col>5</xdr:col>
      <xdr:colOff>346363</xdr:colOff>
      <xdr:row>7</xdr:row>
      <xdr:rowOff>61576</xdr:rowOff>
    </xdr:from>
    <xdr:to>
      <xdr:col>6</xdr:col>
      <xdr:colOff>523393</xdr:colOff>
      <xdr:row>11</xdr:row>
      <xdr:rowOff>23091</xdr:rowOff>
    </xdr:to>
    <xdr:pic>
      <xdr:nvPicPr>
        <xdr:cNvPr id="5" name="Graphic 4" descr="Bar chart with solid fill">
          <a:extLst>
            <a:ext uri="{FF2B5EF4-FFF2-40B4-BE49-F238E27FC236}">
              <a16:creationId xmlns:a16="http://schemas.microsoft.com/office/drawing/2014/main" id="{3C5EC9E7-F35D-4750-A6EB-78D9258899EF}"/>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3394363" y="1341736"/>
          <a:ext cx="786630" cy="693035"/>
        </a:xfrm>
        <a:prstGeom prst="rect">
          <a:avLst/>
        </a:prstGeom>
      </xdr:spPr>
    </xdr:pic>
    <xdr:clientData/>
  </xdr:twoCellAnchor>
  <xdr:twoCellAnchor>
    <xdr:from>
      <xdr:col>7</xdr:col>
      <xdr:colOff>61576</xdr:colOff>
      <xdr:row>8</xdr:row>
      <xdr:rowOff>7697</xdr:rowOff>
    </xdr:from>
    <xdr:to>
      <xdr:col>10</xdr:col>
      <xdr:colOff>523394</xdr:colOff>
      <xdr:row>10</xdr:row>
      <xdr:rowOff>107757</xdr:rowOff>
    </xdr:to>
    <xdr:sp macro="" textlink="">
      <xdr:nvSpPr>
        <xdr:cNvPr id="6" name="TextBox 5">
          <a:extLst>
            <a:ext uri="{FF2B5EF4-FFF2-40B4-BE49-F238E27FC236}">
              <a16:creationId xmlns:a16="http://schemas.microsoft.com/office/drawing/2014/main" id="{43B3AEE0-2636-4479-A952-7663C0482958}"/>
            </a:ext>
          </a:extLst>
        </xdr:cNvPr>
        <xdr:cNvSpPr txBox="1"/>
      </xdr:nvSpPr>
      <xdr:spPr>
        <a:xfrm>
          <a:off x="4328776" y="1470737"/>
          <a:ext cx="2290618" cy="46582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t>ANALYTICS</a:t>
          </a:r>
        </a:p>
      </xdr:txBody>
    </xdr:sp>
    <xdr:clientData/>
  </xdr:twoCellAnchor>
  <xdr:twoCellAnchor editAs="oneCell">
    <xdr:from>
      <xdr:col>15</xdr:col>
      <xdr:colOff>23449</xdr:colOff>
      <xdr:row>12</xdr:row>
      <xdr:rowOff>100294</xdr:rowOff>
    </xdr:from>
    <xdr:to>
      <xdr:col>18</xdr:col>
      <xdr:colOff>28067</xdr:colOff>
      <xdr:row>23</xdr:row>
      <xdr:rowOff>40135</xdr:rowOff>
    </xdr:to>
    <mc:AlternateContent xmlns:mc="http://schemas.openxmlformats.org/markup-compatibility/2006" xmlns:a14="http://schemas.microsoft.com/office/drawing/2010/main">
      <mc:Choice Requires="a14">
        <xdr:graphicFrame macro="">
          <xdr:nvGraphicFramePr>
            <xdr:cNvPr id="7" name="CustomerName 4">
              <a:extLst>
                <a:ext uri="{FF2B5EF4-FFF2-40B4-BE49-F238E27FC236}">
                  <a16:creationId xmlns:a16="http://schemas.microsoft.com/office/drawing/2014/main" id="{B8335E3C-7038-485C-9D2C-FA21EAF5CF7C}"/>
                </a:ext>
              </a:extLst>
            </xdr:cNvPr>
            <xdr:cNvGraphicFramePr/>
          </xdr:nvGraphicFramePr>
          <xdr:xfrm>
            <a:off x="0" y="0"/>
            <a:ext cx="0" cy="0"/>
          </xdr:xfrm>
          <a:graphic>
            <a:graphicData uri="http://schemas.microsoft.com/office/drawing/2010/slicer">
              <sle:slicer xmlns:sle="http://schemas.microsoft.com/office/drawing/2010/slicer" name="CustomerName 4"/>
            </a:graphicData>
          </a:graphic>
        </xdr:graphicFrame>
      </mc:Choice>
      <mc:Fallback xmlns="">
        <xdr:sp macro="" textlink="">
          <xdr:nvSpPr>
            <xdr:cNvPr id="0" name=""/>
            <xdr:cNvSpPr>
              <a:spLocks noTextEdit="1"/>
            </xdr:cNvSpPr>
          </xdr:nvSpPr>
          <xdr:spPr>
            <a:xfrm>
              <a:off x="9167449" y="2294854"/>
              <a:ext cx="1833418" cy="195152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46758</xdr:colOff>
      <xdr:row>24</xdr:row>
      <xdr:rowOff>23740</xdr:rowOff>
    </xdr:from>
    <xdr:to>
      <xdr:col>18</xdr:col>
      <xdr:colOff>51376</xdr:colOff>
      <xdr:row>33</xdr:row>
      <xdr:rowOff>145142</xdr:rowOff>
    </xdr:to>
    <mc:AlternateContent xmlns:mc="http://schemas.openxmlformats.org/markup-compatibility/2006" xmlns:a14="http://schemas.microsoft.com/office/drawing/2010/main">
      <mc:Choice Requires="a14">
        <xdr:graphicFrame macro="">
          <xdr:nvGraphicFramePr>
            <xdr:cNvPr id="8" name="State 4">
              <a:extLst>
                <a:ext uri="{FF2B5EF4-FFF2-40B4-BE49-F238E27FC236}">
                  <a16:creationId xmlns:a16="http://schemas.microsoft.com/office/drawing/2014/main" id="{DB17D398-D791-418A-9759-9670EB6FD45B}"/>
                </a:ext>
              </a:extLst>
            </xdr:cNvPr>
            <xdr:cNvGraphicFramePr/>
          </xdr:nvGraphicFramePr>
          <xdr:xfrm>
            <a:off x="0" y="0"/>
            <a:ext cx="0" cy="0"/>
          </xdr:xfrm>
          <a:graphic>
            <a:graphicData uri="http://schemas.microsoft.com/office/drawing/2010/slicer">
              <sle:slicer xmlns:sle="http://schemas.microsoft.com/office/drawing/2010/slicer" name="State 4"/>
            </a:graphicData>
          </a:graphic>
        </xdr:graphicFrame>
      </mc:Choice>
      <mc:Fallback xmlns="">
        <xdr:sp macro="" textlink="">
          <xdr:nvSpPr>
            <xdr:cNvPr id="0" name=""/>
            <xdr:cNvSpPr>
              <a:spLocks noTextEdit="1"/>
            </xdr:cNvSpPr>
          </xdr:nvSpPr>
          <xdr:spPr>
            <a:xfrm>
              <a:off x="9190758" y="4412860"/>
              <a:ext cx="1833418" cy="176732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41511</xdr:colOff>
      <xdr:row>2</xdr:row>
      <xdr:rowOff>136347</xdr:rowOff>
    </xdr:from>
    <xdr:to>
      <xdr:col>18</xdr:col>
      <xdr:colOff>46129</xdr:colOff>
      <xdr:row>11</xdr:row>
      <xdr:rowOff>117929</xdr:rowOff>
    </xdr:to>
    <mc:AlternateContent xmlns:mc="http://schemas.openxmlformats.org/markup-compatibility/2006" xmlns:a14="http://schemas.microsoft.com/office/drawing/2010/main">
      <mc:Choice Requires="a14">
        <xdr:graphicFrame macro="">
          <xdr:nvGraphicFramePr>
            <xdr:cNvPr id="9" name="City 4">
              <a:extLst>
                <a:ext uri="{FF2B5EF4-FFF2-40B4-BE49-F238E27FC236}">
                  <a16:creationId xmlns:a16="http://schemas.microsoft.com/office/drawing/2014/main" id="{06DD3E41-6100-4C8A-A1B8-B6CB734534DF}"/>
                </a:ext>
              </a:extLst>
            </xdr:cNvPr>
            <xdr:cNvGraphicFramePr/>
          </xdr:nvGraphicFramePr>
          <xdr:xfrm>
            <a:off x="0" y="0"/>
            <a:ext cx="0" cy="0"/>
          </xdr:xfrm>
          <a:graphic>
            <a:graphicData uri="http://schemas.microsoft.com/office/drawing/2010/slicer">
              <sle:slicer xmlns:sle="http://schemas.microsoft.com/office/drawing/2010/slicer" name="City 4"/>
            </a:graphicData>
          </a:graphic>
        </xdr:graphicFrame>
      </mc:Choice>
      <mc:Fallback xmlns="">
        <xdr:sp macro="" textlink="">
          <xdr:nvSpPr>
            <xdr:cNvPr id="0" name=""/>
            <xdr:cNvSpPr>
              <a:spLocks noTextEdit="1"/>
            </xdr:cNvSpPr>
          </xdr:nvSpPr>
          <xdr:spPr>
            <a:xfrm>
              <a:off x="9185511" y="502107"/>
              <a:ext cx="1833418" cy="162750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54429</xdr:colOff>
      <xdr:row>12</xdr:row>
      <xdr:rowOff>36287</xdr:rowOff>
    </xdr:from>
    <xdr:to>
      <xdr:col>11</xdr:col>
      <xdr:colOff>235857</xdr:colOff>
      <xdr:row>13</xdr:row>
      <xdr:rowOff>90716</xdr:rowOff>
    </xdr:to>
    <xdr:sp macro="" textlink="">
      <xdr:nvSpPr>
        <xdr:cNvPr id="10" name="TextBox 9">
          <a:extLst>
            <a:ext uri="{FF2B5EF4-FFF2-40B4-BE49-F238E27FC236}">
              <a16:creationId xmlns:a16="http://schemas.microsoft.com/office/drawing/2014/main" id="{911C505C-1B4C-4828-9FC8-5F1DAF91AD80}"/>
            </a:ext>
          </a:extLst>
        </xdr:cNvPr>
        <xdr:cNvSpPr txBox="1"/>
      </xdr:nvSpPr>
      <xdr:spPr>
        <a:xfrm>
          <a:off x="3712029" y="2230847"/>
          <a:ext cx="3229428" cy="237309"/>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1"/>
              </a:solidFill>
            </a:rPr>
            <a:t> STATE WISE ORDER</a:t>
          </a:r>
        </a:p>
      </xdr:txBody>
    </xdr:sp>
    <xdr:clientData/>
  </xdr:twoCellAnchor>
  <xdr:twoCellAnchor>
    <xdr:from>
      <xdr:col>8</xdr:col>
      <xdr:colOff>18143</xdr:colOff>
      <xdr:row>24</xdr:row>
      <xdr:rowOff>81642</xdr:rowOff>
    </xdr:from>
    <xdr:to>
      <xdr:col>13</xdr:col>
      <xdr:colOff>290286</xdr:colOff>
      <xdr:row>25</xdr:row>
      <xdr:rowOff>154214</xdr:rowOff>
    </xdr:to>
    <xdr:sp macro="" textlink="">
      <xdr:nvSpPr>
        <xdr:cNvPr id="11" name="TextBox 10">
          <a:extLst>
            <a:ext uri="{FF2B5EF4-FFF2-40B4-BE49-F238E27FC236}">
              <a16:creationId xmlns:a16="http://schemas.microsoft.com/office/drawing/2014/main" id="{187EA1A1-66E5-443B-AA08-C16D8A594465}"/>
            </a:ext>
          </a:extLst>
        </xdr:cNvPr>
        <xdr:cNvSpPr txBox="1"/>
      </xdr:nvSpPr>
      <xdr:spPr>
        <a:xfrm>
          <a:off x="4894943" y="4470762"/>
          <a:ext cx="3320143" cy="255452"/>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bg1"/>
              </a:solidFill>
            </a:rPr>
            <a:t>TOP 3</a:t>
          </a:r>
          <a:r>
            <a:rPr lang="en-US" sz="1600" b="1" baseline="0">
              <a:solidFill>
                <a:schemeClr val="bg1"/>
              </a:solidFill>
            </a:rPr>
            <a:t> STATE ORDER</a:t>
          </a:r>
          <a:endParaRPr lang="en-US" sz="1600" b="1">
            <a:solidFill>
              <a:schemeClr val="bg1"/>
            </a:solidFill>
          </a:endParaRPr>
        </a:p>
      </xdr:txBody>
    </xdr:sp>
    <xdr:clientData/>
  </xdr:twoCellAnchor>
  <xdr:twoCellAnchor editAs="oneCell">
    <xdr:from>
      <xdr:col>9</xdr:col>
      <xdr:colOff>476431</xdr:colOff>
      <xdr:row>6</xdr:row>
      <xdr:rowOff>160746</xdr:rowOff>
    </xdr:from>
    <xdr:to>
      <xdr:col>14</xdr:col>
      <xdr:colOff>503645</xdr:colOff>
      <xdr:row>13</xdr:row>
      <xdr:rowOff>54066</xdr:rowOff>
    </xdr:to>
    <mc:AlternateContent xmlns:mc="http://schemas.openxmlformats.org/markup-compatibility/2006">
      <mc:Choice xmlns:tsle="http://schemas.microsoft.com/office/drawing/2012/timeslicer" Requires="tsle">
        <xdr:graphicFrame macro="">
          <xdr:nvGraphicFramePr>
            <xdr:cNvPr id="12" name="Order Date 4">
              <a:extLst>
                <a:ext uri="{FF2B5EF4-FFF2-40B4-BE49-F238E27FC236}">
                  <a16:creationId xmlns:a16="http://schemas.microsoft.com/office/drawing/2014/main" id="{592CAE08-F6D4-4155-8A58-F58A2D28D184}"/>
                </a:ext>
              </a:extLst>
            </xdr:cNvPr>
            <xdr:cNvGraphicFramePr/>
          </xdr:nvGraphicFramePr>
          <xdr:xfrm>
            <a:off x="0" y="0"/>
            <a:ext cx="0" cy="0"/>
          </xdr:xfrm>
          <a:graphic>
            <a:graphicData uri="http://schemas.microsoft.com/office/drawing/2012/timeslicer">
              <tsle:timeslicer xmlns:tsle="http://schemas.microsoft.com/office/drawing/2012/timeslicer" name="Order Date 4"/>
            </a:graphicData>
          </a:graphic>
        </xdr:graphicFrame>
      </mc:Choice>
      <mc:Fallback>
        <xdr:sp macro="" textlink="">
          <xdr:nvSpPr>
            <xdr:cNvPr id="0" name=""/>
            <xdr:cNvSpPr>
              <a:spLocks noTextEdit="1"/>
            </xdr:cNvSpPr>
          </xdr:nvSpPr>
          <xdr:spPr>
            <a:xfrm>
              <a:off x="5962831" y="1258026"/>
              <a:ext cx="3075214" cy="117348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1</xdr:col>
      <xdr:colOff>370701</xdr:colOff>
      <xdr:row>22</xdr:row>
      <xdr:rowOff>30893</xdr:rowOff>
    </xdr:from>
    <xdr:to>
      <xdr:col>5</xdr:col>
      <xdr:colOff>288322</xdr:colOff>
      <xdr:row>24</xdr:row>
      <xdr:rowOff>157480</xdr:rowOff>
    </xdr:to>
    <xdr:sp macro="" textlink="">
      <xdr:nvSpPr>
        <xdr:cNvPr id="15" name="TextBox 14">
          <a:hlinkClick xmlns:r="http://schemas.openxmlformats.org/officeDocument/2006/relationships" r:id="rId4"/>
          <a:extLst>
            <a:ext uri="{FF2B5EF4-FFF2-40B4-BE49-F238E27FC236}">
              <a16:creationId xmlns:a16="http://schemas.microsoft.com/office/drawing/2014/main" id="{CBAAAF33-A388-4432-9D0D-71FEF19A77F3}"/>
            </a:ext>
          </a:extLst>
        </xdr:cNvPr>
        <xdr:cNvSpPr txBox="1"/>
      </xdr:nvSpPr>
      <xdr:spPr>
        <a:xfrm>
          <a:off x="980301" y="4054253"/>
          <a:ext cx="2356021" cy="49234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1"/>
            <a:t>CITIES</a:t>
          </a:r>
        </a:p>
      </xdr:txBody>
    </xdr:sp>
    <xdr:clientData/>
  </xdr:twoCellAnchor>
  <xdr:twoCellAnchor>
    <xdr:from>
      <xdr:col>1</xdr:col>
      <xdr:colOff>399534</xdr:colOff>
      <xdr:row>26</xdr:row>
      <xdr:rowOff>59725</xdr:rowOff>
    </xdr:from>
    <xdr:to>
      <xdr:col>5</xdr:col>
      <xdr:colOff>317155</xdr:colOff>
      <xdr:row>29</xdr:row>
      <xdr:rowOff>960</xdr:rowOff>
    </xdr:to>
    <xdr:sp macro="" textlink="">
      <xdr:nvSpPr>
        <xdr:cNvPr id="16" name="TextBox 15">
          <a:hlinkClick xmlns:r="http://schemas.openxmlformats.org/officeDocument/2006/relationships" r:id="rId1"/>
          <a:extLst>
            <a:ext uri="{FF2B5EF4-FFF2-40B4-BE49-F238E27FC236}">
              <a16:creationId xmlns:a16="http://schemas.microsoft.com/office/drawing/2014/main" id="{DB345E90-ECCB-42F4-AE82-470A36D605E9}"/>
            </a:ext>
          </a:extLst>
        </xdr:cNvPr>
        <xdr:cNvSpPr txBox="1"/>
      </xdr:nvSpPr>
      <xdr:spPr>
        <a:xfrm>
          <a:off x="1009134" y="4814605"/>
          <a:ext cx="2356021" cy="4898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1"/>
            <a:t>STATE</a:t>
          </a:r>
        </a:p>
      </xdr:txBody>
    </xdr:sp>
    <xdr:clientData/>
  </xdr:twoCellAnchor>
  <xdr:twoCellAnchor>
    <xdr:from>
      <xdr:col>1</xdr:col>
      <xdr:colOff>376880</xdr:colOff>
      <xdr:row>13</xdr:row>
      <xdr:rowOff>47367</xdr:rowOff>
    </xdr:from>
    <xdr:to>
      <xdr:col>5</xdr:col>
      <xdr:colOff>294501</xdr:colOff>
      <xdr:row>15</xdr:row>
      <xdr:rowOff>173954</xdr:rowOff>
    </xdr:to>
    <xdr:sp macro="" textlink="">
      <xdr:nvSpPr>
        <xdr:cNvPr id="17" name="TextBox 16">
          <a:hlinkClick xmlns:r="http://schemas.openxmlformats.org/officeDocument/2006/relationships" r:id="rId5"/>
          <a:extLst>
            <a:ext uri="{FF2B5EF4-FFF2-40B4-BE49-F238E27FC236}">
              <a16:creationId xmlns:a16="http://schemas.microsoft.com/office/drawing/2014/main" id="{9EE49A75-C137-46A3-89D8-D67C2E1980E9}"/>
            </a:ext>
          </a:extLst>
        </xdr:cNvPr>
        <xdr:cNvSpPr txBox="1"/>
      </xdr:nvSpPr>
      <xdr:spPr>
        <a:xfrm>
          <a:off x="986480" y="2424807"/>
          <a:ext cx="2356021" cy="49234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1"/>
            <a:t>ORDER</a:t>
          </a:r>
        </a:p>
      </xdr:txBody>
    </xdr:sp>
    <xdr:clientData/>
  </xdr:twoCellAnchor>
  <xdr:twoCellAnchor>
    <xdr:from>
      <xdr:col>1</xdr:col>
      <xdr:colOff>387177</xdr:colOff>
      <xdr:row>17</xdr:row>
      <xdr:rowOff>119449</xdr:rowOff>
    </xdr:from>
    <xdr:to>
      <xdr:col>5</xdr:col>
      <xdr:colOff>304798</xdr:colOff>
      <xdr:row>20</xdr:row>
      <xdr:rowOff>60684</xdr:rowOff>
    </xdr:to>
    <xdr:sp macro="" textlink="">
      <xdr:nvSpPr>
        <xdr:cNvPr id="18" name="TextBox 17">
          <a:hlinkClick xmlns:r="http://schemas.openxmlformats.org/officeDocument/2006/relationships" r:id="rId6"/>
          <a:extLst>
            <a:ext uri="{FF2B5EF4-FFF2-40B4-BE49-F238E27FC236}">
              <a16:creationId xmlns:a16="http://schemas.microsoft.com/office/drawing/2014/main" id="{DB793B94-6152-4F53-983F-B84EB0F64B99}"/>
            </a:ext>
          </a:extLst>
        </xdr:cNvPr>
        <xdr:cNvSpPr txBox="1"/>
      </xdr:nvSpPr>
      <xdr:spPr>
        <a:xfrm>
          <a:off x="996777" y="3228409"/>
          <a:ext cx="2356021" cy="4898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1"/>
            <a:t>CUSTOMER</a:t>
          </a:r>
        </a:p>
      </xdr:txBody>
    </xdr:sp>
    <xdr:clientData/>
  </xdr:twoCellAnchor>
  <xdr:twoCellAnchor>
    <xdr:from>
      <xdr:col>1</xdr:col>
      <xdr:colOff>365760</xdr:colOff>
      <xdr:row>9</xdr:row>
      <xdr:rowOff>144780</xdr:rowOff>
    </xdr:from>
    <xdr:to>
      <xdr:col>5</xdr:col>
      <xdr:colOff>327660</xdr:colOff>
      <xdr:row>12</xdr:row>
      <xdr:rowOff>114300</xdr:rowOff>
    </xdr:to>
    <xdr:sp macro="" textlink="">
      <xdr:nvSpPr>
        <xdr:cNvPr id="19" name="TextBox 18">
          <a:hlinkClick xmlns:r="http://schemas.openxmlformats.org/officeDocument/2006/relationships" r:id="rId7"/>
          <a:extLst>
            <a:ext uri="{FF2B5EF4-FFF2-40B4-BE49-F238E27FC236}">
              <a16:creationId xmlns:a16="http://schemas.microsoft.com/office/drawing/2014/main" id="{6CF0CCAA-6343-4CED-82BB-05BC1731EC7A}"/>
            </a:ext>
          </a:extLst>
        </xdr:cNvPr>
        <xdr:cNvSpPr txBox="1"/>
      </xdr:nvSpPr>
      <xdr:spPr>
        <a:xfrm>
          <a:off x="975360" y="1790700"/>
          <a:ext cx="2400300" cy="5181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t>DASHBOARD</a:t>
          </a:r>
        </a:p>
      </xdr:txBody>
    </xdr:sp>
    <xdr:clientData/>
  </xdr:twoCellAnchor>
  <xdr:twoCellAnchor>
    <xdr:from>
      <xdr:col>6</xdr:col>
      <xdr:colOff>171631</xdr:colOff>
      <xdr:row>14</xdr:row>
      <xdr:rowOff>0</xdr:rowOff>
    </xdr:from>
    <xdr:to>
      <xdr:col>13</xdr:col>
      <xdr:colOff>548640</xdr:colOff>
      <xdr:row>24</xdr:row>
      <xdr:rowOff>50799</xdr:rowOff>
    </xdr:to>
    <xdr:graphicFrame macro="">
      <xdr:nvGraphicFramePr>
        <xdr:cNvPr id="20" name="Chart 19">
          <a:extLst>
            <a:ext uri="{FF2B5EF4-FFF2-40B4-BE49-F238E27FC236}">
              <a16:creationId xmlns:a16="http://schemas.microsoft.com/office/drawing/2014/main" id="{82BB41B1-4D6C-4D38-8A74-4041637015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7</xdr:col>
      <xdr:colOff>386080</xdr:colOff>
      <xdr:row>26</xdr:row>
      <xdr:rowOff>30479</xdr:rowOff>
    </xdr:from>
    <xdr:to>
      <xdr:col>13</xdr:col>
      <xdr:colOff>508000</xdr:colOff>
      <xdr:row>35</xdr:row>
      <xdr:rowOff>121920</xdr:rowOff>
    </xdr:to>
    <xdr:graphicFrame macro="">
      <xdr:nvGraphicFramePr>
        <xdr:cNvPr id="21" name="Chart 20">
          <a:extLst>
            <a:ext uri="{FF2B5EF4-FFF2-40B4-BE49-F238E27FC236}">
              <a16:creationId xmlns:a16="http://schemas.microsoft.com/office/drawing/2014/main" id="{378C41AC-608F-4AFA-BCBD-742D8A3DC0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hp\Downloads\mastersheet%20(1).xlsx" TargetMode="External"/><Relationship Id="rId1" Type="http://schemas.openxmlformats.org/officeDocument/2006/relationships/externalLinkPath" Target="file:///C:\Users\hp\Downloads\mastersheet%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TATE"/>
      <sheetName val="CITIES"/>
      <sheetName val="CUSTOMER"/>
      <sheetName val="ORDER"/>
      <sheetName val="dashboard"/>
      <sheetName val="Sheet11"/>
      <sheetName val="Sheet1"/>
      <sheetName val="Sheet2"/>
      <sheetName val="Sheet3"/>
      <sheetName val="Sheet4"/>
      <sheetName val="Sheet5"/>
      <sheetName val="Sheet6"/>
      <sheetName val="Sheet7"/>
      <sheetName val="Sheet8"/>
      <sheetName val="Sheet9"/>
      <sheetName val="Superstore"/>
      <sheetName val="Order Data"/>
      <sheetName val="Sheet10"/>
      <sheetName val="North Data"/>
      <sheetName val="East Data"/>
      <sheetName val="South Data"/>
      <sheetName val="Automated Dashboard data"/>
    </sheetNames>
    <sheetDataSet>
      <sheetData sheetId="0"/>
      <sheetData sheetId="1"/>
      <sheetData sheetId="2"/>
      <sheetData sheetId="3"/>
      <sheetData sheetId="4"/>
      <sheetData sheetId="5">
        <row r="3">
          <cell r="N3" t="str">
            <v>Ahmedabad</v>
          </cell>
          <cell r="O3">
            <v>17</v>
          </cell>
        </row>
        <row r="4">
          <cell r="N4" t="str">
            <v>Amritsar</v>
          </cell>
          <cell r="O4">
            <v>9</v>
          </cell>
        </row>
        <row r="5">
          <cell r="N5" t="str">
            <v>Bangalore</v>
          </cell>
          <cell r="O5">
            <v>20</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pivotCache/_rels/pivotCacheDefinition1.xml.rels><?xml version="1.0" encoding="UTF-8" standalone="yes"?>
<Relationships xmlns="http://schemas.openxmlformats.org/package/2006/relationships"><Relationship Id="rId2" Type="http://schemas.openxmlformats.org/officeDocument/2006/relationships/externalLinkPath" Target="file:///C:\Users\hp\Downloads\mastersheet%20(1).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301.531600694441" createdVersion="8" refreshedVersion="8" minRefreshableVersion="3" recordCount="500" xr:uid="{DA6793F6-FF81-4D58-B559-CBB563B75F9D}">
  <cacheSource type="worksheet">
    <worksheetSource name="Orders" r:id="rId2"/>
  </cacheSource>
  <cacheFields count="7">
    <cacheField name="Order ID" numFmtId="0">
      <sharedItems count="500">
        <s v="B-26055"/>
        <s v="B-25993"/>
        <s v="B-25973"/>
        <s v="B-25923"/>
        <s v="B-25757"/>
        <s v="B-25967"/>
        <s v="B-25955"/>
        <s v="B-26093"/>
        <s v="B-25798"/>
        <s v="B-25602"/>
        <s v="B-25858"/>
        <s v="B-25969"/>
        <s v="B-26099"/>
        <s v="B-25997"/>
        <s v="B-25881"/>
        <s v="B-25761"/>
        <s v="B-25887"/>
        <s v="B-25823"/>
        <s v="B-25853"/>
        <s v="B-25862"/>
        <s v="B-25830"/>
        <s v="B-25786"/>
        <s v="B-25686"/>
        <s v="B-26022"/>
        <s v="B-26003"/>
        <s v="B-25755"/>
        <s v="B-25902"/>
        <s v="B-25935"/>
        <s v="B-25797"/>
        <s v="B-25639"/>
        <s v="B-25681"/>
        <s v="B-25909"/>
        <s v="B-25910"/>
        <s v="B-25950"/>
        <s v="B-25613"/>
        <s v="B-25919"/>
        <s v="B-25768"/>
        <s v="B-25629"/>
        <s v="B-25729"/>
        <s v="B-25943"/>
        <s v="B-25842"/>
        <s v="B-26073"/>
        <s v="B-25778"/>
        <s v="B-25717"/>
        <s v="B-26085"/>
        <s v="B-26048"/>
        <s v="B-25793"/>
        <s v="B-25656"/>
        <s v="B-25608"/>
        <s v="B-25752"/>
        <s v="B-25779"/>
        <s v="B-25603"/>
        <s v="B-26051"/>
        <s v="B-25653"/>
        <s v="B-25855"/>
        <s v="B-25762"/>
        <s v="B-25995"/>
        <s v="B-25929"/>
        <s v="B-26006"/>
        <s v="B-25697"/>
        <s v="B-25836"/>
        <s v="B-25601"/>
        <s v="B-25873"/>
        <s v="B-26028"/>
        <s v="B-25964"/>
        <s v="B-25676"/>
        <s v="B-25839"/>
        <s v="B-25894"/>
        <s v="B-25925"/>
        <s v="B-25953"/>
        <s v="B-25772"/>
        <s v="B-25957"/>
        <s v="B-25730"/>
        <s v="B-25877"/>
        <s v="B-26067"/>
        <s v="B-25810"/>
        <s v="B-25868"/>
        <s v="B-26023"/>
        <s v="B-25626"/>
        <s v="B-25937"/>
        <s v="B-25610"/>
        <s v="B-25777"/>
        <s v="B-25738"/>
        <s v="B-25978"/>
        <s v="B-25643"/>
        <s v="B-25728"/>
        <s v="B-25749"/>
        <s v="B-25667"/>
        <s v="B-25657"/>
        <s v="B-25753"/>
        <s v="B-26061"/>
        <s v="B-25838"/>
        <s v="B-25702"/>
        <s v="B-25952"/>
        <s v="B-25666"/>
        <s v="B-25675"/>
        <s v="B-25650"/>
        <s v="B-25986"/>
        <s v="B-25850"/>
        <s v="B-25898"/>
        <s v="B-25813"/>
        <s v="B-25825"/>
        <s v="B-25954"/>
        <s v="B-25696"/>
        <s v="B-25638"/>
        <s v="B-25747"/>
        <s v="B-25904"/>
        <s v="B-25852"/>
        <s v="B-25981"/>
        <s v="B-25899"/>
        <s v="B-25870"/>
        <s v="B-26040"/>
        <s v="B-25671"/>
        <s v="B-26100"/>
        <s v="B-25651"/>
        <s v="B-25968"/>
        <s v="B-26019"/>
        <s v="B-25664"/>
        <s v="B-26033"/>
        <s v="B-26052"/>
        <s v="B-25999"/>
        <s v="B-25781"/>
        <s v="B-25764"/>
        <s v="B-25803"/>
        <s v="B-25945"/>
        <s v="B-26086"/>
        <s v="B-25845"/>
        <s v="B-25817"/>
        <s v="B-25951"/>
        <s v="B-25970"/>
        <s v="B-25878"/>
        <s v="B-26057"/>
        <s v="B-25885"/>
        <s v="B-25897"/>
        <s v="B-25756"/>
        <s v="B-25859"/>
        <s v="B-25691"/>
        <s v="B-25633"/>
        <s v="B-25708"/>
        <s v="B-25831"/>
        <s v="B-25856"/>
        <s v="B-25893"/>
        <s v="B-25959"/>
        <s v="B-26000"/>
        <s v="B-26097"/>
        <s v="B-25745"/>
        <s v="B-25974"/>
        <s v="B-25670"/>
        <s v="B-25848"/>
        <s v="B-25888"/>
        <s v="B-25942"/>
        <s v="B-25847"/>
        <s v="B-25636"/>
        <s v="B-25826"/>
        <s v="B-26081"/>
        <s v="B-25625"/>
        <s v="B-25802"/>
        <s v="B-25693"/>
        <s v="B-25796"/>
        <s v="B-25806"/>
        <s v="B-25710"/>
        <s v="B-25669"/>
        <s v="B-25857"/>
        <s v="B-25785"/>
        <s v="B-25930"/>
        <s v="B-26053"/>
        <s v="B-26070"/>
        <s v="B-25791"/>
        <s v="B-25983"/>
        <s v="B-25979"/>
        <s v="B-26054"/>
        <s v="B-26078"/>
        <s v="B-25787"/>
        <s v="B-25682"/>
        <s v="B-25962"/>
        <s v="B-25750"/>
        <s v="B-25828"/>
        <s v="B-25622"/>
        <s v="B-25751"/>
        <s v="B-25685"/>
        <s v="B-26010"/>
        <s v="B-26035"/>
        <s v="B-25698"/>
        <s v="B-25966"/>
        <s v="B-25832"/>
        <s v="B-25743"/>
        <s v="B-25886"/>
        <s v="B-25975"/>
        <s v="B-26098"/>
        <s v="B-25614"/>
        <s v="B-25726"/>
        <s v="B-26050"/>
        <s v="B-25609"/>
        <s v="B-25741"/>
        <s v="B-25956"/>
        <s v="B-25689"/>
        <s v="B-25939"/>
        <s v="B-25890"/>
        <s v="B-25814"/>
        <s v="B-25718"/>
        <s v="B-25914"/>
        <s v="B-25903"/>
        <s v="B-26096"/>
        <s v="B-25654"/>
        <s v="B-26076"/>
        <s v="B-25961"/>
        <s v="B-25854"/>
        <s v="B-25642"/>
        <s v="B-25683"/>
        <s v="B-26016"/>
        <s v="B-26034"/>
        <s v="B-26056"/>
        <s v="B-25819"/>
        <s v="B-25715"/>
        <s v="B-25933"/>
        <s v="B-26014"/>
        <s v="B-25655"/>
        <s v="B-25816"/>
        <s v="B-25634"/>
        <s v="B-25895"/>
        <s v="B-25687"/>
        <s v="B-25662"/>
        <s v="B-25635"/>
        <s v="B-26060"/>
        <s v="B-26045"/>
        <s v="B-25770"/>
        <s v="B-25744"/>
        <s v="B-25618"/>
        <s v="B-25958"/>
        <s v="B-25769"/>
        <s v="B-25619"/>
        <s v="B-25688"/>
        <s v="B-25829"/>
        <s v="B-26036"/>
        <s v="B-25714"/>
        <s v="B-25989"/>
        <s v="B-25849"/>
        <s v="B-25851"/>
        <s v="B-25782"/>
        <s v="B-25621"/>
        <s v="B-25996"/>
        <s v="B-25678"/>
        <s v="B-25727"/>
        <s v="B-26018"/>
        <s v="B-25760"/>
        <s v="B-25804"/>
        <s v="B-25754"/>
        <s v="B-26020"/>
        <s v="B-25640"/>
        <s v="B-25789"/>
        <s v="B-26072"/>
        <s v="B-26007"/>
        <s v="B-26087"/>
        <s v="B-25617"/>
        <s v="B-25984"/>
        <s v="B-25767"/>
        <s v="B-25987"/>
        <s v="B-25840"/>
        <s v="B-25663"/>
        <s v="B-26030"/>
        <s v="B-25947"/>
        <s v="B-25896"/>
        <s v="B-26009"/>
        <s v="B-25876"/>
        <s v="B-25915"/>
        <s v="B-25795"/>
        <s v="B-26002"/>
        <s v="B-25645"/>
        <s v="B-25837"/>
        <s v="B-25612"/>
        <s v="B-25812"/>
        <s v="B-25843"/>
        <s v="B-26026"/>
        <s v="B-25773"/>
        <s v="B-25875"/>
        <s v="B-25660"/>
        <s v="B-25918"/>
        <s v="B-25971"/>
        <s v="B-26063"/>
        <s v="B-25867"/>
        <s v="B-25703"/>
        <s v="B-25661"/>
        <s v="B-25748"/>
        <s v="B-25766"/>
        <s v="B-25861"/>
        <s v="B-26058"/>
        <s v="B-25808"/>
        <s v="B-25900"/>
        <s v="B-26084"/>
        <s v="B-25652"/>
        <s v="B-26008"/>
        <s v="B-25799"/>
        <s v="B-25927"/>
        <s v="B-25985"/>
        <s v="B-25994"/>
        <s v="B-25620"/>
        <s v="B-25712"/>
        <s v="B-25976"/>
        <s v="B-26068"/>
        <s v="B-25721"/>
        <s v="B-25863"/>
        <s v="B-25991"/>
        <s v="B-25737"/>
        <s v="B-26043"/>
        <s v="B-25977"/>
        <s v="B-25908"/>
        <s v="B-25941"/>
        <s v="B-25794"/>
        <s v="B-26041"/>
        <s v="B-25695"/>
        <s v="B-25960"/>
        <s v="B-26037"/>
        <s v="B-25921"/>
        <s v="B-25944"/>
        <s v="B-25724"/>
        <s v="B-26024"/>
        <s v="B-25694"/>
        <s v="B-25665"/>
        <s v="B-26004"/>
        <s v="B-25611"/>
        <s v="B-25901"/>
        <s v="B-25623"/>
        <s v="B-25713"/>
        <s v="B-26091"/>
        <s v="B-25604"/>
        <s v="B-25827"/>
        <s v="B-25835"/>
        <s v="B-26025"/>
        <s v="B-25809"/>
        <s v="B-25905"/>
        <s v="B-25948"/>
        <s v="B-26094"/>
        <s v="B-25949"/>
        <s v="B-26001"/>
        <s v="B-25771"/>
        <s v="B-25659"/>
        <s v="B-25924"/>
        <s v="B-25883"/>
        <s v="B-25946"/>
        <s v="B-26065"/>
        <s v="B-26083"/>
        <s v="B-25725"/>
        <s v="B-25630"/>
        <s v="B-25673"/>
        <s v="B-25692"/>
        <s v="B-25992"/>
        <s v="B-25765"/>
        <s v="B-25892"/>
        <s v="B-26089"/>
        <s v="B-25780"/>
        <s v="B-25684"/>
        <s v="B-25739"/>
        <s v="B-25731"/>
        <s v="B-25648"/>
        <s v="B-26038"/>
        <s v="B-25700"/>
        <s v="B-26015"/>
        <s v="B-25704"/>
        <s v="B-25811"/>
        <s v="B-25821"/>
        <s v="B-25874"/>
        <s v="B-25668"/>
        <s v="B-25800"/>
        <s v="B-25928"/>
        <s v="B-26021"/>
        <s v="B-26064"/>
        <s v="B-25882"/>
        <s v="B-25891"/>
        <s v="B-25820"/>
        <s v="B-25889"/>
        <s v="B-25871"/>
        <s v="B-25637"/>
        <s v="B-25616"/>
        <s v="B-25972"/>
        <s v="B-25805"/>
        <s v="B-25860"/>
        <s v="B-26080"/>
        <s v="B-25807"/>
        <s v="B-25734"/>
        <s v="B-25880"/>
        <s v="B-25934"/>
        <s v="B-25913"/>
        <s v="B-25912"/>
        <s v="B-25824"/>
        <s v="B-25711"/>
        <s v="B-25864"/>
        <s v="B-25917"/>
        <s v="B-26049"/>
        <s v="B-25920"/>
        <s v="B-25699"/>
        <s v="B-25735"/>
        <s v="B-25701"/>
        <s v="B-26092"/>
        <s v="B-26082"/>
        <s v="B-25818"/>
        <s v="B-25846"/>
        <s v="B-26011"/>
        <s v="B-25631"/>
        <s v="B-25606"/>
        <s v="B-25746"/>
        <s v="B-26005"/>
        <s v="B-25844"/>
        <s v="B-25869"/>
        <s v="B-26066"/>
        <s v="B-25865"/>
        <s v="B-26039"/>
        <s v="B-25916"/>
        <s v="B-26090"/>
        <s v="B-25988"/>
        <s v="B-25906"/>
        <s v="B-26017"/>
        <s v="B-25644"/>
        <s v="B-25679"/>
        <s v="B-25723"/>
        <s v="B-25605"/>
        <s v="B-25792"/>
        <s v="B-25680"/>
        <s v="B-25931"/>
        <s v="B-25932"/>
        <s v="B-25990"/>
        <s v="B-25615"/>
        <s v="B-26031"/>
        <s v="B-25801"/>
        <s v="B-25833"/>
        <s v="B-26077"/>
        <s v="B-25936"/>
        <s v="B-25938"/>
        <s v="B-25716"/>
        <s v="B-25740"/>
        <s v="B-25763"/>
        <s v="B-25872"/>
        <s v="B-25879"/>
        <s v="B-25926"/>
        <s v="B-26074"/>
        <s v="B-25627"/>
        <s v="B-25940"/>
        <s v="B-26047"/>
        <s v="B-26069"/>
        <s v="B-26027"/>
        <s v="B-25963"/>
        <s v="B-25922"/>
        <s v="B-25866"/>
        <s v="B-25607"/>
        <s v="B-25775"/>
        <s v="B-25998"/>
        <s v="B-26062"/>
        <s v="B-25722"/>
        <s v="B-25776"/>
        <s v="B-26032"/>
        <s v="B-25705"/>
        <s v="B-25628"/>
        <s v="B-25733"/>
        <s v="B-25647"/>
        <s v="B-25790"/>
        <s v="B-25709"/>
        <s v="B-25911"/>
        <s v="B-25774"/>
        <s v="B-26042"/>
        <s v="B-25815"/>
        <s v="B-25822"/>
        <s v="B-26075"/>
        <s v="B-25783"/>
        <s v="B-26046"/>
        <s v="B-25690"/>
        <s v="B-25706"/>
        <s v="B-25736"/>
        <s v="B-25720"/>
        <s v="B-25907"/>
        <s v="B-25719"/>
        <s v="B-26013"/>
        <s v="B-26044"/>
        <s v="B-25649"/>
        <s v="B-25658"/>
        <s v="B-25672"/>
        <s v="B-25624"/>
        <s v="B-25884"/>
        <s v="B-25641"/>
        <s v="B-25841"/>
        <s v="B-25980"/>
        <s v="B-26012"/>
        <s v="B-26029"/>
        <s v="B-26071"/>
        <s v="B-25646"/>
        <s v="B-25677"/>
        <s v="B-25759"/>
        <s v="B-26059"/>
        <s v="B-25632"/>
        <s v="B-26079"/>
        <s v="B-25674"/>
        <s v="B-25965"/>
        <s v="B-25732"/>
        <s v="B-25834"/>
        <s v="B-25784"/>
        <s v="B-25982"/>
        <s v="B-25788"/>
        <s v="B-25742"/>
        <s v="B-26088"/>
        <s v="B-25707"/>
        <s v="B-25758"/>
        <s v="B-26095"/>
      </sharedItems>
    </cacheField>
    <cacheField name="Order Date" numFmtId="14">
      <sharedItems containsSemiMixedTypes="0" containsNonDate="0" containsDate="1" containsString="0" minDate="2018-01-01T00:00:00" maxDate="2019-01-01T00:00:00" count="307">
        <d v="2018-03-10T00:00:00"/>
        <d v="2018-02-03T00:00:00"/>
        <d v="2018-01-24T00:00:00"/>
        <d v="2018-12-27T00:00:00"/>
        <d v="2018-08-21T00:00:00"/>
        <d v="2018-01-21T00:00:00"/>
        <d v="2018-01-16T00:00:00"/>
        <d v="2018-03-27T00:00:00"/>
        <d v="2018-10-01T00:00:00"/>
        <d v="2018-04-01T00:00:00"/>
        <d v="2018-11-13T00:00:00"/>
        <d v="2018-03-30T00:00:00"/>
        <d v="2018-02-04T00:00:00"/>
        <d v="2018-11-25T00:00:00"/>
        <d v="2018-08-25T00:00:00"/>
        <d v="2018-12-01T00:00:00"/>
        <d v="2018-10-18T00:00:00"/>
        <d v="2018-11-08T00:00:00"/>
        <d v="2018-11-15T00:00:00"/>
        <d v="2018-10-26T00:00:00"/>
        <d v="2018-09-19T00:00:00"/>
        <d v="2018-06-11T00:00:00"/>
        <d v="2018-02-18T00:00:00"/>
        <d v="2018-02-08T00:00:00"/>
        <d v="2018-08-19T00:00:00"/>
        <d v="2018-12-10T00:00:00"/>
        <d v="2018-01-04T00:00:00"/>
        <d v="2018-09-30T00:00:00"/>
        <d v="2018-04-27T00:00:00"/>
        <d v="2018-06-04T00:00:00"/>
        <d v="2018-12-13T00:00:00"/>
        <d v="2018-12-14T00:00:00"/>
        <d v="2018-01-13T00:00:00"/>
        <d v="2018-04-12T00:00:00"/>
        <d v="2018-12-23T00:00:00"/>
        <d v="2018-09-01T00:00:00"/>
        <d v="2018-04-24T00:00:00"/>
        <d v="2018-07-22T00:00:00"/>
        <d v="2018-01-09T00:00:00"/>
        <d v="2018-11-02T00:00:00"/>
        <d v="2018-03-21T00:00:00"/>
        <d v="2018-09-11T00:00:00"/>
        <d v="2018-07-12T00:00:00"/>
        <d v="2018-03-26T00:00:00"/>
        <d v="2018-03-04T00:00:00"/>
        <d v="2018-09-24T00:00:00"/>
        <d v="2018-05-11T00:00:00"/>
        <d v="2018-04-08T00:00:00"/>
        <d v="2018-08-14T00:00:00"/>
        <d v="2018-09-12T00:00:00"/>
        <d v="2018-04-03T00:00:00"/>
        <d v="2018-03-07T00:00:00"/>
        <d v="2018-05-08T00:00:00"/>
        <d v="2018-08-26T00:00:00"/>
        <d v="2018-01-02T00:00:00"/>
        <d v="2018-02-09T00:00:00"/>
        <d v="2018-06-22T00:00:00"/>
        <d v="2018-10-29T00:00:00"/>
        <d v="2018-11-23T00:00:00"/>
        <d v="2018-02-20T00:00:00"/>
        <d v="2018-01-20T00:00:00"/>
        <d v="2018-06-01T00:00:00"/>
        <d v="2018-10-30T00:00:00"/>
        <d v="2018-12-04T00:00:00"/>
        <d v="2018-12-29T00:00:00"/>
        <d v="2018-01-14T00:00:00"/>
        <d v="2018-09-02T00:00:00"/>
        <d v="2018-01-18T00:00:00"/>
        <d v="2018-11-24T00:00:00"/>
        <d v="2018-03-16T00:00:00"/>
        <d v="2018-10-10T00:00:00"/>
        <d v="2018-11-18T00:00:00"/>
        <d v="2018-02-19T00:00:00"/>
        <d v="2018-04-23T00:00:00"/>
        <d v="2018-01-05T00:00:00"/>
        <d v="2018-04-09T00:00:00"/>
        <d v="2018-09-10T00:00:00"/>
        <d v="2018-08-02T00:00:00"/>
        <d v="2018-01-27T00:00:00"/>
        <d v="2018-04-29T00:00:00"/>
        <d v="2018-08-13T00:00:00"/>
        <d v="2018-05-23T00:00:00"/>
        <d v="2018-05-13T00:00:00"/>
        <d v="2018-08-17T00:00:00"/>
        <d v="2018-03-14T00:00:00"/>
        <d v="2018-06-27T00:00:00"/>
        <d v="2018-05-22T00:00:00"/>
        <d v="2018-05-31T00:00:00"/>
        <d v="2018-05-06T00:00:00"/>
        <d v="2018-01-31T00:00:00"/>
        <d v="2018-11-05T00:00:00"/>
        <d v="2018-12-07T00:00:00"/>
        <d v="2018-10-21T00:00:00"/>
        <d v="2018-06-21T00:00:00"/>
        <d v="2018-04-26T00:00:00"/>
        <d v="2018-08-11T00:00:00"/>
        <d v="2018-11-07T00:00:00"/>
        <d v="2018-01-28T00:00:00"/>
        <d v="2018-12-08T00:00:00"/>
        <d v="2018-11-20T00:00:00"/>
        <d v="2018-02-26T00:00:00"/>
        <d v="2018-05-27T00:00:00"/>
        <d v="2018-03-31T00:00:00"/>
        <d v="2018-05-07T00:00:00"/>
        <d v="2018-02-15T00:00:00"/>
        <d v="2018-05-20T00:00:00"/>
        <d v="2018-02-22T00:00:00"/>
        <d v="2018-03-08T00:00:00"/>
        <d v="2018-02-05T00:00:00"/>
        <d v="2018-09-14T00:00:00"/>
        <d v="2018-08-28T00:00:00"/>
        <d v="2018-10-05T00:00:00"/>
        <d v="2018-01-11T00:00:00"/>
        <d v="2018-11-03T00:00:00"/>
        <d v="2018-10-13T00:00:00"/>
        <d v="2018-01-22T00:00:00"/>
        <d v="2018-11-28T00:00:00"/>
        <d v="2018-12-06T00:00:00"/>
        <d v="2018-08-20T00:00:00"/>
        <d v="2018-11-14T00:00:00"/>
        <d v="2018-06-16T00:00:00"/>
        <d v="2018-07-01T00:00:00"/>
        <d v="2018-10-27T00:00:00"/>
        <d v="2018-11-10T00:00:00"/>
        <d v="2018-02-06T00:00:00"/>
        <d v="2018-03-28T00:00:00"/>
        <d v="2018-08-09T00:00:00"/>
        <d v="2018-01-25T00:00:00"/>
        <d v="2018-05-25T00:00:00"/>
        <d v="2018-12-02T00:00:00"/>
        <d v="2018-01-08T00:00:00"/>
        <d v="2018-10-22T00:00:00"/>
        <d v="2018-03-22T00:00:00"/>
        <d v="2018-06-18T00:00:00"/>
        <d v="2018-10-06T00:00:00"/>
        <d v="2018-07-05T00:00:00"/>
        <d v="2018-09-15T00:00:00"/>
        <d v="2018-01-03T00:00:00"/>
        <d v="2018-03-09T00:00:00"/>
        <d v="2018-03-18T00:00:00"/>
        <d v="2018-01-30T00:00:00"/>
        <d v="2018-09-20T00:00:00"/>
        <d v="2018-06-07T00:00:00"/>
        <d v="2018-01-19T00:00:00"/>
        <d v="2018-10-24T00:00:00"/>
        <d v="2018-04-22T00:00:00"/>
        <d v="2018-06-10T00:00:00"/>
        <d v="2018-02-11T00:00:00"/>
        <d v="2018-02-23T00:00:00"/>
        <d v="2018-06-23T00:00:00"/>
        <d v="2018-10-28T00:00:00"/>
        <d v="2018-08-07T00:00:00"/>
        <d v="2018-03-29T00:00:00"/>
        <d v="2018-04-13T00:00:00"/>
        <d v="2018-07-21T00:00:00"/>
        <d v="2018-03-06T00:00:00"/>
        <d v="2018-08-03T00:00:00"/>
        <d v="2018-01-17T00:00:00"/>
        <d v="2018-06-14T00:00:00"/>
        <d v="2018-12-18T00:00:00"/>
        <d v="2018-05-10T00:00:00"/>
        <d v="2018-04-28T00:00:00"/>
        <d v="2018-06-08T00:00:00"/>
        <d v="2018-02-14T00:00:00"/>
        <d v="2018-10-15T00:00:00"/>
        <d v="2018-07-10T00:00:00"/>
        <d v="2018-02-13T00:00:00"/>
        <d v="2018-10-12T00:00:00"/>
        <d v="2018-05-17T00:00:00"/>
        <d v="2018-03-13T00:00:00"/>
        <d v="2018-03-03T00:00:00"/>
        <d v="2018-08-08T00:00:00"/>
        <d v="2018-04-18T00:00:00"/>
        <d v="2018-10-25T00:00:00"/>
        <d v="2018-07-09T00:00:00"/>
        <d v="2018-02-01T00:00:00"/>
        <d v="2018-11-04T00:00:00"/>
        <d v="2018-11-06T00:00:00"/>
        <d v="2018-04-20T00:00:00"/>
        <d v="2018-06-03T00:00:00"/>
        <d v="2018-08-24T00:00:00"/>
        <d v="2018-08-18T00:00:00"/>
        <d v="2018-02-16T00:00:00"/>
        <d v="2018-09-22T00:00:00"/>
        <d v="2018-03-20T00:00:00"/>
        <d v="2018-04-17T00:00:00"/>
        <d v="2018-08-31T00:00:00"/>
        <d v="2018-10-31T00:00:00"/>
        <d v="2018-05-19T00:00:00"/>
        <d v="2018-02-21T00:00:00"/>
        <d v="2018-12-05T00:00:00"/>
        <d v="2018-02-10T00:00:00"/>
        <d v="2018-12-19T00:00:00"/>
        <d v="2018-05-01T00:00:00"/>
        <d v="2018-09-06T00:00:00"/>
        <d v="2018-05-16T00:00:00"/>
        <d v="2018-12-22T00:00:00"/>
        <d v="2018-03-15T00:00:00"/>
        <d v="2018-11-17T00:00:00"/>
        <d v="2018-06-28T00:00:00"/>
        <d v="2018-08-12T00:00:00"/>
        <d v="2018-08-30T00:00:00"/>
        <d v="2018-03-11T00:00:00"/>
        <d v="2018-10-08T00:00:00"/>
        <d v="2018-12-09T00:00:00"/>
        <d v="2018-03-25T00:00:00"/>
        <d v="2018-12-31T00:00:00"/>
        <d v="2018-07-07T00:00:00"/>
        <d v="2018-07-16T00:00:00"/>
        <d v="2018-08-01T00:00:00"/>
        <d v="2018-03-01T00:00:00"/>
        <d v="2018-12-12T00:00:00"/>
        <d v="2018-01-07T00:00:00"/>
        <d v="2018-02-27T00:00:00"/>
        <d v="2018-12-25T00:00:00"/>
        <d v="2018-01-10T00:00:00"/>
        <d v="2018-07-19T00:00:00"/>
        <d v="2018-05-21T00:00:00"/>
        <d v="2018-04-11T00:00:00"/>
        <d v="2018-07-08T00:00:00"/>
        <d v="2018-10-23T00:00:00"/>
        <d v="2018-10-09T00:00:00"/>
        <d v="2018-12-11T00:00:00"/>
        <d v="2018-02-07T00:00:00"/>
        <d v="2018-05-15T00:00:00"/>
        <d v="2018-12-28T00:00:00"/>
        <d v="2018-11-27T00:00:00"/>
        <d v="2018-01-12T00:00:00"/>
        <d v="2018-03-24T00:00:00"/>
        <d v="2018-07-20T00:00:00"/>
        <d v="2018-05-28T00:00:00"/>
        <d v="2018-06-17T00:00:00"/>
        <d v="2018-08-29T00:00:00"/>
        <d v="2018-09-13T00:00:00"/>
        <d v="2018-06-09T00:00:00"/>
        <d v="2018-07-26T00:00:00"/>
        <d v="2018-05-04T00:00:00"/>
        <d v="2018-02-24T00:00:00"/>
        <d v="2018-06-25T00:00:00"/>
        <d v="2018-06-29T00:00:00"/>
        <d v="2018-10-16T00:00:00"/>
        <d v="2018-05-24T00:00:00"/>
        <d v="2018-01-01T00:00:00"/>
        <d v="2018-02-17T00:00:00"/>
        <d v="2018-11-26T00:00:00"/>
        <d v="2018-12-03T00:00:00"/>
        <d v="2018-11-21T00:00:00"/>
        <d v="2018-04-15T00:00:00"/>
        <d v="2018-01-23T00:00:00"/>
        <d v="2018-10-07T00:00:00"/>
        <d v="2018-07-29T00:00:00"/>
        <d v="2018-12-17T00:00:00"/>
        <d v="2018-12-16T00:00:00"/>
        <d v="2018-10-20T00:00:00"/>
        <d v="2018-07-06T00:00:00"/>
        <d v="2018-12-21T00:00:00"/>
        <d v="2018-03-05T00:00:00"/>
        <d v="2018-12-24T00:00:00"/>
        <d v="2018-06-24T00:00:00"/>
        <d v="2018-07-30T00:00:00"/>
        <d v="2018-06-26T00:00:00"/>
        <d v="2018-03-23T00:00:00"/>
        <d v="2018-10-14T00:00:00"/>
        <d v="2018-02-12T00:00:00"/>
        <d v="2018-04-06T00:00:00"/>
        <d v="2018-08-10T00:00:00"/>
        <d v="2018-11-19T00:00:00"/>
        <d v="2018-02-25T00:00:00"/>
        <d v="2018-12-20T00:00:00"/>
        <d v="2018-04-30T00:00:00"/>
        <d v="2018-07-18T00:00:00"/>
        <d v="2018-04-05T00:00:00"/>
        <d v="2018-02-02T00:00:00"/>
        <d v="2018-07-11T00:00:00"/>
        <d v="2018-08-27T00:00:00"/>
        <d v="2018-11-22T00:00:00"/>
        <d v="2018-12-30T00:00:00"/>
        <d v="2018-01-06T00:00:00"/>
        <d v="2018-03-17T00:00:00"/>
        <d v="2018-12-26T00:00:00"/>
        <d v="2018-11-16T00:00:00"/>
        <d v="2018-09-08T00:00:00"/>
        <d v="2018-07-17T00:00:00"/>
        <d v="2018-09-09T00:00:00"/>
        <d v="2018-06-30T00:00:00"/>
        <d v="2018-07-28T00:00:00"/>
        <d v="2018-05-03T00:00:00"/>
        <d v="2018-09-23T00:00:00"/>
        <d v="2018-12-15T00:00:00"/>
        <d v="2018-09-07T00:00:00"/>
        <d v="2018-02-28T00:00:00"/>
        <d v="2018-06-15T00:00:00"/>
        <d v="2018-07-31T00:00:00"/>
        <d v="2018-07-15T00:00:00"/>
        <d v="2018-03-02T00:00:00"/>
        <d v="2018-05-05T00:00:00"/>
        <d v="2018-05-14T00:00:00"/>
        <d v="2018-11-01T00:00:00"/>
        <d v="2018-03-19T00:00:00"/>
        <d v="2018-06-02T00:00:00"/>
        <d v="2018-08-23T00:00:00"/>
        <d v="2018-03-12T00:00:00"/>
        <d v="2018-04-25T00:00:00"/>
        <d v="2018-07-27T00:00:00"/>
        <d v="2018-01-29T00:00:00"/>
        <d v="2018-09-21T00:00:00"/>
        <d v="2018-08-22T00:00:00"/>
      </sharedItems>
      <fieldGroup par="6"/>
    </cacheField>
    <cacheField name="CustomerName" numFmtId="0">
      <sharedItems count="336">
        <s v="Harivansh"/>
        <s v="Madhav"/>
        <s v="Madan Mohan"/>
        <s v="Gopal"/>
        <s v="Vishakha"/>
        <s v="Sudevi"/>
        <s v="Shiva"/>
        <s v="Sarita"/>
        <s v="Shishu"/>
        <s v="Vrinda"/>
        <s v="Uudhav"/>
        <s v="Shreyshi"/>
        <s v="Bhishm"/>
        <s v="Yogesh"/>
        <s v="Lalita"/>
        <s v="Rohan"/>
        <s v="Gaurav"/>
        <s v="Amol"/>
        <s v="Aastha"/>
        <s v="Pooja"/>
        <s v="Shrichand"/>
        <s v="Hitesh"/>
        <s v="Shourya"/>
        <s v="Ishpreet"/>
        <s v="Sudhir"/>
        <s v="Sauptik"/>
        <s v="Lisha"/>
        <s v="Bhawna"/>
        <s v="Sujay"/>
        <s v="Jay"/>
        <s v="Shruti"/>
        <s v="Mohan"/>
        <s v="Neha"/>
        <s v="Shreyoshe"/>
        <s v="Hemant"/>
        <s v="Madhulika"/>
        <s v="Shardul"/>
        <s v="Sheetal"/>
        <s v="Pournamasi"/>
        <s v="Surabhi"/>
        <s v="Manshul"/>
        <s v="Parth"/>
        <s v="Siddharth"/>
        <s v="Priyanka"/>
        <s v="Aarushi"/>
        <s v="Vaibhav"/>
        <s v="Savi"/>
        <s v="Jahan"/>
        <s v="Parishi"/>
        <s v="Farah"/>
        <s v="Abhijeet"/>
        <s v="Anudeep"/>
        <s v="Yohann"/>
        <s v="Girase"/>
        <s v="Arpita"/>
        <s v="Vijay"/>
        <s v="Arti"/>
        <s v="Bharat"/>
        <s v="Divyeta"/>
        <s v="Manju"/>
        <s v="Oshin"/>
        <s v="Chandni"/>
        <s v="Pranjali"/>
        <s v="Monu"/>
        <s v="Krutika"/>
        <s v="Sanjana"/>
        <s v="Mahima"/>
        <s v="Rishabh"/>
        <s v="Dashyam"/>
        <s v="Tulika"/>
        <s v="Nripraj"/>
        <s v="Vikash"/>
        <s v="Mukesh"/>
        <s v="Ankit"/>
        <s v="Aditi"/>
        <s v="Ayush"/>
        <s v="Parin"/>
        <s v="Kirti"/>
        <s v="Ameesha"/>
        <s v="Anjali"/>
        <s v="Shivam"/>
        <s v="Anurag"/>
        <s v="Shaily"/>
        <s v="Tanvi"/>
        <s v="Shreya"/>
        <s v="Chirag"/>
        <s v="Shweta"/>
        <s v="Abhishek"/>
        <s v="Hrisheekesh"/>
        <s v="Kartik"/>
        <s v="Trupti"/>
        <s v="Noopur"/>
        <s v="Harsh"/>
        <s v="Swapnil"/>
        <s v="Soumyabrata"/>
        <s v="Amruta"/>
        <s v="Aishwarya"/>
        <s v="Pranav"/>
        <s v="Sahil"/>
        <s v="Mitali"/>
        <s v="Hitika"/>
        <s v="Paromita"/>
        <s v="Jitesh"/>
        <s v="Pratyusmita"/>
        <s v="Atharv"/>
        <s v="Ajay"/>
        <s v="Diwakar"/>
        <s v="Rutuja"/>
        <s v="Sanjova"/>
        <s v="Shivanshu"/>
        <s v="Mhatre"/>
        <s v="Snel"/>
        <s v="Praneet"/>
        <s v="Jesal"/>
        <s v="Rhea"/>
        <s v="Mrinal"/>
        <s v="Sharda"/>
        <s v="Shatayu"/>
        <s v="Chikku"/>
        <s v="Akancha"/>
        <s v="Amit"/>
        <s v="Kishwar"/>
        <s v="Muskan"/>
        <s v="Shubham"/>
        <s v="Vini"/>
        <s v="Manisha"/>
        <s v="Charika"/>
        <s v="Ankur"/>
        <s v="Aniket"/>
        <s v="Nishi"/>
        <s v="Tanushree"/>
        <s v="Pinky"/>
        <s v="Yash"/>
        <s v="Parna"/>
        <s v="Sukrith"/>
        <s v="Dhanraj"/>
        <s v="Megha"/>
        <s v="Piyali"/>
        <s v="Anand"/>
        <s v="Monica"/>
        <s v="Avish"/>
        <s v="Atul"/>
        <s v="Shivangi"/>
        <s v="Mayank"/>
        <s v="Kasheen"/>
        <s v="Asish"/>
        <s v="Tejeswini"/>
        <s v="Priyanshu"/>
        <s v="Nikita"/>
        <s v="Monisha"/>
        <s v="Nishant"/>
        <s v="Kartikay"/>
        <s v="Amisha"/>
        <s v="Soumya"/>
        <s v="Harshita"/>
        <s v="Aman"/>
        <s v="Brijesh"/>
        <s v="Vandana"/>
        <s v="Kiran"/>
        <s v="Paridhi"/>
        <s v="Navdeep"/>
        <s v="Bhaggyasree"/>
        <s v="Vineet"/>
        <s v="Divyansha"/>
        <s v="Kajal"/>
        <s v="Amlan"/>
        <s v="Sabah"/>
        <s v="Surbhi"/>
        <s v="Hazel"/>
        <s v="Sonal"/>
        <s v="Srishti"/>
        <s v="Shikhar"/>
        <s v="Divsha"/>
        <s v="Nida"/>
        <s v="Mane"/>
        <s v="Sanjay"/>
        <s v="Sathya"/>
        <s v="Sanjna"/>
        <s v="Sweta"/>
        <s v="Nidhi"/>
        <s v="Sakshi"/>
        <s v="Devendra"/>
        <s v="Aparajita"/>
        <s v="Ramesh"/>
        <s v="Swetha"/>
        <s v="Apoorva"/>
        <s v="Stuti"/>
        <s v="K"/>
        <s v="Kushal"/>
        <s v="Aayushi"/>
        <s v="Deepak"/>
        <s v="Prashant"/>
        <s v="Bathina"/>
        <s v="Turumella"/>
        <s v="Sudheer"/>
        <s v="Akshay"/>
        <s v="Sagar"/>
        <s v="Ashmeet"/>
        <s v="Manjiri"/>
        <s v="Sneha"/>
        <s v="Chetan"/>
        <s v="Komal"/>
        <s v="Bhosale"/>
        <s v="Sukruta"/>
        <s v="Sukant"/>
        <s v="Yaanvi"/>
        <s v="Palak"/>
        <s v="Kshitij"/>
        <s v="Mrunal"/>
        <s v="Kanak"/>
        <s v="Divyeshkumar"/>
        <s v="Karandeep"/>
        <s v="Ekta"/>
        <s v="Subhashree"/>
        <s v="Nitant"/>
        <s v="Aayush"/>
        <s v="Aditya"/>
        <s v="Apsingekar"/>
        <s v="Anita"/>
        <s v="Tushina"/>
        <s v="Kalyani"/>
        <s v="Divyansh"/>
        <s v="Ginny"/>
        <s v="Omkar"/>
        <s v="Adhvaita"/>
        <s v="Piyam"/>
        <s v="Shefali"/>
        <s v="Anchal"/>
        <s v="Manibalan"/>
        <s v="Mansi"/>
        <s v="Pradeep"/>
        <s v="Jaideep"/>
        <s v="Ritu"/>
        <s v="Suhani"/>
        <s v="Sandra"/>
        <s v="Syed"/>
        <s v="Subhasmita"/>
        <s v="Chayanika"/>
        <s v="Nandita"/>
        <s v="Suraj"/>
        <s v="Raksha"/>
        <s v="Moumita"/>
        <s v="Bhavna"/>
        <s v="Suman"/>
        <s v="Bhargav"/>
        <s v="Mukund"/>
        <s v="Shantanu"/>
        <s v="Patil"/>
        <s v="Vaibhavi"/>
        <s v="Sanskriti"/>
        <s v="Prajakta"/>
        <s v="Saptadeep"/>
        <s v="Saurabh"/>
        <s v="Anisha"/>
        <s v="Arsheen"/>
        <s v="Rashmi"/>
        <s v="Meghana"/>
        <s v="Teena"/>
        <s v="Samiksha"/>
        <s v="Daksh"/>
        <s v="Akash"/>
        <s v="Shubhi"/>
        <s v="Riya"/>
        <s v="Utsav"/>
        <s v="Ishit"/>
        <s v="Smriti"/>
        <s v="Ankita"/>
        <s v="Masurkar"/>
        <s v="Shivani"/>
        <s v="Dheeraj"/>
        <s v="Gunjal"/>
        <s v="Ashmi"/>
        <s v="Jesslyn"/>
        <s v="Sonakshi"/>
        <s v="Vipul"/>
        <s v="Apoorv"/>
        <s v="Rahul"/>
        <s v="Geetanjali"/>
        <s v="Preksha"/>
        <s v="Shyam"/>
        <s v="Aromal"/>
        <s v="Jayanti"/>
        <s v="Kritika"/>
        <s v="Arindam"/>
        <s v="Maithilee"/>
        <s v="Sandeep"/>
        <s v="Soodesh"/>
        <s v="Parnavi"/>
        <s v="Swati"/>
        <s v="Parakh"/>
        <s v="Arun"/>
        <s v="Utkarsh"/>
        <s v="Nirja"/>
        <s v="Abhijit"/>
        <s v="Avni"/>
        <s v="Wale"/>
        <s v="Sidharth"/>
        <s v="Bhutekar"/>
        <s v="Mugdha"/>
        <s v="Aryan"/>
        <s v="Krishna"/>
        <s v="Nikhil"/>
        <s v="Rane"/>
        <s v="Noshiba"/>
        <s v="Dipali"/>
        <s v="Vivek"/>
        <s v="Pratiksha"/>
        <s v="Akshata"/>
        <s v="Duhita"/>
        <s v="Anmol"/>
        <s v="Inderpreet"/>
        <s v="Mousam"/>
        <s v="Dhirajendu"/>
        <s v="Sajal"/>
        <s v="Aakanksha"/>
        <s v="Phalguni"/>
        <s v="Snehal"/>
        <s v="Manish"/>
        <s v="Tejas"/>
        <s v="Pearl"/>
        <s v="Gunjan"/>
        <s v="Swetlana"/>
        <s v="Akshat"/>
        <s v="Namrata"/>
        <s v="Jaydeep"/>
        <s v="Rachna"/>
        <s v="Akanksha"/>
        <s v="Sumeet"/>
        <s v="Ashvini"/>
        <s v="Saloni"/>
        <s v="Anubhaw"/>
        <s v="Ananya"/>
        <s v="Rohit"/>
        <s v="Hemangi"/>
        <s v="Dinesh"/>
        <s v="Ashwin"/>
      </sharedItems>
    </cacheField>
    <cacheField name="State" numFmtId="0">
      <sharedItems count="19">
        <s v="Uttar Pradesh"/>
        <s v="Delhi"/>
        <s v="Maharashtra"/>
        <s v="Madhya Pradesh"/>
        <s v="Andhra Pradesh"/>
        <s v="Gujarat"/>
        <s v="Bihar"/>
        <s v="Himachal Pradesh"/>
        <s v="Punjab"/>
        <s v="Kerala "/>
        <s v="Nagaland"/>
        <s v="Haryana"/>
        <s v="Rajasthan"/>
        <s v="Karnataka"/>
        <s v="Tamil Nadu"/>
        <s v="West Bengal"/>
        <s v="Jammu and Kashmir"/>
        <s v="Goa"/>
        <s v="Sikkim"/>
      </sharedItems>
    </cacheField>
    <cacheField name="City" numFmtId="0">
      <sharedItems count="25">
        <s v="Mathura"/>
        <s v="Delhi"/>
        <s v="Mumbai"/>
        <s v="Indore"/>
        <s v="Prayagraj"/>
        <s v="Pune"/>
        <s v="Hyderabad"/>
        <s v="Surat"/>
        <s v="Ahmedabad"/>
        <s v="Patna"/>
        <s v="Simla"/>
        <s v="Chandigarh"/>
        <s v="Bhopal"/>
        <s v="Thiruvananthapuram"/>
        <s v="Kohima"/>
        <s v="Udaipur"/>
        <s v="Bangalore"/>
        <s v="Lucknow"/>
        <s v="Chennai"/>
        <s v="Kolkata"/>
        <s v="Kashmir"/>
        <s v="Jaipur"/>
        <s v="Amritsar"/>
        <s v="Goa"/>
        <s v="Gangtok"/>
      </sharedItems>
    </cacheField>
    <cacheField name="Days (Order Date)" numFmtId="0" databaseField="0">
      <fieldGroup base="1">
        <rangePr groupBy="days" startDate="2018-01-01T00:00:00" endDate="2019-01-01T00:00:00"/>
        <groupItems count="368">
          <s v="&lt;01-01-18"/>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19"/>
        </groupItems>
      </fieldGroup>
    </cacheField>
    <cacheField name="Months (Order Date)" numFmtId="0" databaseField="0">
      <fieldGroup base="1">
        <rangePr groupBy="months" startDate="2018-01-01T00:00:00" endDate="2019-01-01T00:00:00"/>
        <groupItems count="14">
          <s v="&lt;01-01-18"/>
          <s v="Jan"/>
          <s v="Feb"/>
          <s v="Mar"/>
          <s v="Apr"/>
          <s v="May"/>
          <s v="Jun"/>
          <s v="Jul"/>
          <s v="Aug"/>
          <s v="Sep"/>
          <s v="Oct"/>
          <s v="Nov"/>
          <s v="Dec"/>
          <s v="&gt;01-01-19"/>
        </groupItems>
      </fieldGroup>
    </cacheField>
  </cacheFields>
  <extLst>
    <ext xmlns:x14="http://schemas.microsoft.com/office/spreadsheetml/2009/9/main" uri="{725AE2AE-9491-48be-B2B4-4EB974FC3084}">
      <x14:pivotCacheDefinition pivotCacheId="56282375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x v="0"/>
    <x v="0"/>
    <x v="0"/>
    <x v="0"/>
    <x v="0"/>
  </r>
  <r>
    <x v="1"/>
    <x v="1"/>
    <x v="1"/>
    <x v="1"/>
    <x v="1"/>
  </r>
  <r>
    <x v="2"/>
    <x v="2"/>
    <x v="2"/>
    <x v="0"/>
    <x v="0"/>
  </r>
  <r>
    <x v="3"/>
    <x v="3"/>
    <x v="3"/>
    <x v="2"/>
    <x v="2"/>
  </r>
  <r>
    <x v="4"/>
    <x v="4"/>
    <x v="4"/>
    <x v="3"/>
    <x v="3"/>
  </r>
  <r>
    <x v="5"/>
    <x v="5"/>
    <x v="5"/>
    <x v="0"/>
    <x v="4"/>
  </r>
  <r>
    <x v="6"/>
    <x v="6"/>
    <x v="6"/>
    <x v="2"/>
    <x v="5"/>
  </r>
  <r>
    <x v="7"/>
    <x v="7"/>
    <x v="7"/>
    <x v="2"/>
    <x v="5"/>
  </r>
  <r>
    <x v="8"/>
    <x v="8"/>
    <x v="8"/>
    <x v="4"/>
    <x v="6"/>
  </r>
  <r>
    <x v="9"/>
    <x v="9"/>
    <x v="9"/>
    <x v="2"/>
    <x v="5"/>
  </r>
  <r>
    <x v="10"/>
    <x v="10"/>
    <x v="10"/>
    <x v="2"/>
    <x v="2"/>
  </r>
  <r>
    <x v="11"/>
    <x v="5"/>
    <x v="11"/>
    <x v="5"/>
    <x v="7"/>
  </r>
  <r>
    <x v="12"/>
    <x v="11"/>
    <x v="12"/>
    <x v="2"/>
    <x v="2"/>
  </r>
  <r>
    <x v="13"/>
    <x v="12"/>
    <x v="13"/>
    <x v="2"/>
    <x v="5"/>
  </r>
  <r>
    <x v="14"/>
    <x v="13"/>
    <x v="14"/>
    <x v="0"/>
    <x v="0"/>
  </r>
  <r>
    <x v="15"/>
    <x v="14"/>
    <x v="1"/>
    <x v="0"/>
    <x v="0"/>
  </r>
  <r>
    <x v="16"/>
    <x v="15"/>
    <x v="4"/>
    <x v="0"/>
    <x v="4"/>
  </r>
  <r>
    <x v="17"/>
    <x v="16"/>
    <x v="15"/>
    <x v="2"/>
    <x v="2"/>
  </r>
  <r>
    <x v="18"/>
    <x v="17"/>
    <x v="16"/>
    <x v="5"/>
    <x v="8"/>
  </r>
  <r>
    <x v="19"/>
    <x v="18"/>
    <x v="17"/>
    <x v="6"/>
    <x v="9"/>
  </r>
  <r>
    <x v="20"/>
    <x v="19"/>
    <x v="18"/>
    <x v="7"/>
    <x v="10"/>
  </r>
  <r>
    <x v="21"/>
    <x v="20"/>
    <x v="2"/>
    <x v="0"/>
    <x v="0"/>
  </r>
  <r>
    <x v="22"/>
    <x v="21"/>
    <x v="19"/>
    <x v="7"/>
    <x v="10"/>
  </r>
  <r>
    <x v="23"/>
    <x v="22"/>
    <x v="20"/>
    <x v="8"/>
    <x v="11"/>
  </r>
  <r>
    <x v="24"/>
    <x v="23"/>
    <x v="21"/>
    <x v="3"/>
    <x v="12"/>
  </r>
  <r>
    <x v="25"/>
    <x v="24"/>
    <x v="22"/>
    <x v="9"/>
    <x v="13"/>
  </r>
  <r>
    <x v="26"/>
    <x v="25"/>
    <x v="23"/>
    <x v="2"/>
    <x v="2"/>
  </r>
  <r>
    <x v="27"/>
    <x v="26"/>
    <x v="24"/>
    <x v="10"/>
    <x v="14"/>
  </r>
  <r>
    <x v="28"/>
    <x v="27"/>
    <x v="25"/>
    <x v="3"/>
    <x v="3"/>
  </r>
  <r>
    <x v="29"/>
    <x v="28"/>
    <x v="26"/>
    <x v="3"/>
    <x v="12"/>
  </r>
  <r>
    <x v="30"/>
    <x v="29"/>
    <x v="27"/>
    <x v="3"/>
    <x v="3"/>
  </r>
  <r>
    <x v="31"/>
    <x v="30"/>
    <x v="28"/>
    <x v="2"/>
    <x v="5"/>
  </r>
  <r>
    <x v="32"/>
    <x v="31"/>
    <x v="29"/>
    <x v="1"/>
    <x v="1"/>
  </r>
  <r>
    <x v="33"/>
    <x v="32"/>
    <x v="30"/>
    <x v="3"/>
    <x v="3"/>
  </r>
  <r>
    <x v="34"/>
    <x v="33"/>
    <x v="31"/>
    <x v="11"/>
    <x v="11"/>
  </r>
  <r>
    <x v="35"/>
    <x v="34"/>
    <x v="32"/>
    <x v="12"/>
    <x v="15"/>
  </r>
  <r>
    <x v="36"/>
    <x v="35"/>
    <x v="33"/>
    <x v="13"/>
    <x v="16"/>
  </r>
  <r>
    <x v="37"/>
    <x v="36"/>
    <x v="34"/>
    <x v="9"/>
    <x v="13"/>
  </r>
  <r>
    <x v="38"/>
    <x v="37"/>
    <x v="35"/>
    <x v="3"/>
    <x v="12"/>
  </r>
  <r>
    <x v="39"/>
    <x v="38"/>
    <x v="36"/>
    <x v="5"/>
    <x v="8"/>
  </r>
  <r>
    <x v="40"/>
    <x v="39"/>
    <x v="37"/>
    <x v="2"/>
    <x v="5"/>
  </r>
  <r>
    <x v="41"/>
    <x v="40"/>
    <x v="38"/>
    <x v="3"/>
    <x v="3"/>
  </r>
  <r>
    <x v="42"/>
    <x v="41"/>
    <x v="39"/>
    <x v="2"/>
    <x v="2"/>
  </r>
  <r>
    <x v="43"/>
    <x v="42"/>
    <x v="40"/>
    <x v="0"/>
    <x v="17"/>
  </r>
  <r>
    <x v="44"/>
    <x v="43"/>
    <x v="20"/>
    <x v="8"/>
    <x v="11"/>
  </r>
  <r>
    <x v="45"/>
    <x v="44"/>
    <x v="41"/>
    <x v="2"/>
    <x v="5"/>
  </r>
  <r>
    <x v="46"/>
    <x v="45"/>
    <x v="42"/>
    <x v="3"/>
    <x v="3"/>
  </r>
  <r>
    <x v="47"/>
    <x v="46"/>
    <x v="43"/>
    <x v="2"/>
    <x v="5"/>
  </r>
  <r>
    <x v="48"/>
    <x v="47"/>
    <x v="44"/>
    <x v="14"/>
    <x v="18"/>
  </r>
  <r>
    <x v="49"/>
    <x v="48"/>
    <x v="45"/>
    <x v="3"/>
    <x v="3"/>
  </r>
  <r>
    <x v="50"/>
    <x v="49"/>
    <x v="46"/>
    <x v="2"/>
    <x v="5"/>
  </r>
  <r>
    <x v="51"/>
    <x v="50"/>
    <x v="47"/>
    <x v="3"/>
    <x v="12"/>
  </r>
  <r>
    <x v="52"/>
    <x v="51"/>
    <x v="48"/>
    <x v="15"/>
    <x v="19"/>
  </r>
  <r>
    <x v="53"/>
    <x v="52"/>
    <x v="49"/>
    <x v="10"/>
    <x v="14"/>
  </r>
  <r>
    <x v="54"/>
    <x v="17"/>
    <x v="50"/>
    <x v="3"/>
    <x v="12"/>
  </r>
  <r>
    <x v="55"/>
    <x v="53"/>
    <x v="51"/>
    <x v="3"/>
    <x v="3"/>
  </r>
  <r>
    <x v="56"/>
    <x v="12"/>
    <x v="52"/>
    <x v="1"/>
    <x v="1"/>
  </r>
  <r>
    <x v="57"/>
    <x v="54"/>
    <x v="53"/>
    <x v="9"/>
    <x v="13"/>
  </r>
  <r>
    <x v="58"/>
    <x v="55"/>
    <x v="54"/>
    <x v="13"/>
    <x v="16"/>
  </r>
  <r>
    <x v="59"/>
    <x v="56"/>
    <x v="55"/>
    <x v="16"/>
    <x v="20"/>
  </r>
  <r>
    <x v="60"/>
    <x v="57"/>
    <x v="56"/>
    <x v="2"/>
    <x v="5"/>
  </r>
  <r>
    <x v="61"/>
    <x v="9"/>
    <x v="57"/>
    <x v="5"/>
    <x v="8"/>
  </r>
  <r>
    <x v="62"/>
    <x v="58"/>
    <x v="58"/>
    <x v="3"/>
    <x v="3"/>
  </r>
  <r>
    <x v="63"/>
    <x v="59"/>
    <x v="59"/>
    <x v="4"/>
    <x v="6"/>
  </r>
  <r>
    <x v="64"/>
    <x v="60"/>
    <x v="60"/>
    <x v="2"/>
    <x v="5"/>
  </r>
  <r>
    <x v="65"/>
    <x v="61"/>
    <x v="61"/>
    <x v="12"/>
    <x v="21"/>
  </r>
  <r>
    <x v="66"/>
    <x v="62"/>
    <x v="62"/>
    <x v="15"/>
    <x v="19"/>
  </r>
  <r>
    <x v="67"/>
    <x v="63"/>
    <x v="63"/>
    <x v="8"/>
    <x v="22"/>
  </r>
  <r>
    <x v="68"/>
    <x v="64"/>
    <x v="30"/>
    <x v="2"/>
    <x v="2"/>
  </r>
  <r>
    <x v="69"/>
    <x v="65"/>
    <x v="64"/>
    <x v="4"/>
    <x v="6"/>
  </r>
  <r>
    <x v="70"/>
    <x v="66"/>
    <x v="65"/>
    <x v="6"/>
    <x v="9"/>
  </r>
  <r>
    <x v="71"/>
    <x v="67"/>
    <x v="66"/>
    <x v="3"/>
    <x v="3"/>
  </r>
  <r>
    <x v="72"/>
    <x v="37"/>
    <x v="67"/>
    <x v="12"/>
    <x v="21"/>
  </r>
  <r>
    <x v="73"/>
    <x v="68"/>
    <x v="68"/>
    <x v="5"/>
    <x v="7"/>
  </r>
  <r>
    <x v="74"/>
    <x v="69"/>
    <x v="69"/>
    <x v="3"/>
    <x v="12"/>
  </r>
  <r>
    <x v="75"/>
    <x v="70"/>
    <x v="70"/>
    <x v="8"/>
    <x v="11"/>
  </r>
  <r>
    <x v="76"/>
    <x v="71"/>
    <x v="71"/>
    <x v="17"/>
    <x v="23"/>
  </r>
  <r>
    <x v="77"/>
    <x v="72"/>
    <x v="72"/>
    <x v="11"/>
    <x v="11"/>
  </r>
  <r>
    <x v="78"/>
    <x v="73"/>
    <x v="12"/>
    <x v="2"/>
    <x v="2"/>
  </r>
  <r>
    <x v="79"/>
    <x v="74"/>
    <x v="73"/>
    <x v="11"/>
    <x v="11"/>
  </r>
  <r>
    <x v="80"/>
    <x v="75"/>
    <x v="13"/>
    <x v="6"/>
    <x v="9"/>
  </r>
  <r>
    <x v="81"/>
    <x v="76"/>
    <x v="74"/>
    <x v="3"/>
    <x v="3"/>
  </r>
  <r>
    <x v="82"/>
    <x v="77"/>
    <x v="75"/>
    <x v="8"/>
    <x v="11"/>
  </r>
  <r>
    <x v="83"/>
    <x v="78"/>
    <x v="76"/>
    <x v="2"/>
    <x v="2"/>
  </r>
  <r>
    <x v="84"/>
    <x v="79"/>
    <x v="77"/>
    <x v="16"/>
    <x v="20"/>
  </r>
  <r>
    <x v="85"/>
    <x v="37"/>
    <x v="78"/>
    <x v="2"/>
    <x v="5"/>
  </r>
  <r>
    <x v="86"/>
    <x v="80"/>
    <x v="75"/>
    <x v="2"/>
    <x v="2"/>
  </r>
  <r>
    <x v="87"/>
    <x v="81"/>
    <x v="79"/>
    <x v="11"/>
    <x v="11"/>
  </r>
  <r>
    <x v="88"/>
    <x v="82"/>
    <x v="69"/>
    <x v="3"/>
    <x v="12"/>
  </r>
  <r>
    <x v="89"/>
    <x v="83"/>
    <x v="80"/>
    <x v="0"/>
    <x v="17"/>
  </r>
  <r>
    <x v="90"/>
    <x v="84"/>
    <x v="81"/>
    <x v="3"/>
    <x v="3"/>
  </r>
  <r>
    <x v="91"/>
    <x v="57"/>
    <x v="65"/>
    <x v="3"/>
    <x v="3"/>
  </r>
  <r>
    <x v="92"/>
    <x v="85"/>
    <x v="82"/>
    <x v="2"/>
    <x v="2"/>
  </r>
  <r>
    <x v="93"/>
    <x v="32"/>
    <x v="43"/>
    <x v="3"/>
    <x v="3"/>
  </r>
  <r>
    <x v="94"/>
    <x v="86"/>
    <x v="83"/>
    <x v="8"/>
    <x v="11"/>
  </r>
  <r>
    <x v="95"/>
    <x v="87"/>
    <x v="84"/>
    <x v="3"/>
    <x v="12"/>
  </r>
  <r>
    <x v="96"/>
    <x v="88"/>
    <x v="85"/>
    <x v="2"/>
    <x v="2"/>
  </r>
  <r>
    <x v="97"/>
    <x v="89"/>
    <x v="86"/>
    <x v="12"/>
    <x v="15"/>
  </r>
  <r>
    <x v="98"/>
    <x v="90"/>
    <x v="87"/>
    <x v="17"/>
    <x v="23"/>
  </r>
  <r>
    <x v="99"/>
    <x v="91"/>
    <x v="87"/>
    <x v="12"/>
    <x v="15"/>
  </r>
  <r>
    <x v="100"/>
    <x v="70"/>
    <x v="88"/>
    <x v="2"/>
    <x v="2"/>
  </r>
  <r>
    <x v="101"/>
    <x v="92"/>
    <x v="89"/>
    <x v="3"/>
    <x v="3"/>
  </r>
  <r>
    <x v="102"/>
    <x v="65"/>
    <x v="90"/>
    <x v="5"/>
    <x v="8"/>
  </r>
  <r>
    <x v="103"/>
    <x v="93"/>
    <x v="91"/>
    <x v="13"/>
    <x v="16"/>
  </r>
  <r>
    <x v="104"/>
    <x v="94"/>
    <x v="41"/>
    <x v="2"/>
    <x v="5"/>
  </r>
  <r>
    <x v="105"/>
    <x v="95"/>
    <x v="92"/>
    <x v="3"/>
    <x v="12"/>
  </r>
  <r>
    <x v="106"/>
    <x v="25"/>
    <x v="93"/>
    <x v="1"/>
    <x v="1"/>
  </r>
  <r>
    <x v="107"/>
    <x v="96"/>
    <x v="94"/>
    <x v="4"/>
    <x v="6"/>
  </r>
  <r>
    <x v="108"/>
    <x v="97"/>
    <x v="95"/>
    <x v="1"/>
    <x v="1"/>
  </r>
  <r>
    <x v="109"/>
    <x v="98"/>
    <x v="96"/>
    <x v="0"/>
    <x v="4"/>
  </r>
  <r>
    <x v="110"/>
    <x v="99"/>
    <x v="97"/>
    <x v="4"/>
    <x v="6"/>
  </r>
  <r>
    <x v="111"/>
    <x v="100"/>
    <x v="98"/>
    <x v="8"/>
    <x v="11"/>
  </r>
  <r>
    <x v="112"/>
    <x v="101"/>
    <x v="99"/>
    <x v="10"/>
    <x v="14"/>
  </r>
  <r>
    <x v="113"/>
    <x v="102"/>
    <x v="100"/>
    <x v="3"/>
    <x v="3"/>
  </r>
  <r>
    <x v="114"/>
    <x v="103"/>
    <x v="81"/>
    <x v="3"/>
    <x v="3"/>
  </r>
  <r>
    <x v="115"/>
    <x v="5"/>
    <x v="101"/>
    <x v="8"/>
    <x v="22"/>
  </r>
  <r>
    <x v="116"/>
    <x v="104"/>
    <x v="102"/>
    <x v="0"/>
    <x v="17"/>
  </r>
  <r>
    <x v="117"/>
    <x v="105"/>
    <x v="103"/>
    <x v="6"/>
    <x v="9"/>
  </r>
  <r>
    <x v="118"/>
    <x v="106"/>
    <x v="104"/>
    <x v="15"/>
    <x v="19"/>
  </r>
  <r>
    <x v="119"/>
    <x v="107"/>
    <x v="105"/>
    <x v="13"/>
    <x v="16"/>
  </r>
  <r>
    <x v="120"/>
    <x v="108"/>
    <x v="106"/>
    <x v="1"/>
    <x v="1"/>
  </r>
  <r>
    <x v="121"/>
    <x v="109"/>
    <x v="107"/>
    <x v="5"/>
    <x v="8"/>
  </r>
  <r>
    <x v="122"/>
    <x v="110"/>
    <x v="108"/>
    <x v="2"/>
    <x v="5"/>
  </r>
  <r>
    <x v="123"/>
    <x v="111"/>
    <x v="109"/>
    <x v="3"/>
    <x v="3"/>
  </r>
  <r>
    <x v="124"/>
    <x v="112"/>
    <x v="110"/>
    <x v="3"/>
    <x v="3"/>
  </r>
  <r>
    <x v="125"/>
    <x v="43"/>
    <x v="72"/>
    <x v="11"/>
    <x v="11"/>
  </r>
  <r>
    <x v="126"/>
    <x v="113"/>
    <x v="111"/>
    <x v="9"/>
    <x v="13"/>
  </r>
  <r>
    <x v="127"/>
    <x v="114"/>
    <x v="112"/>
    <x v="2"/>
    <x v="2"/>
  </r>
  <r>
    <x v="128"/>
    <x v="32"/>
    <x v="113"/>
    <x v="15"/>
    <x v="19"/>
  </r>
  <r>
    <x v="129"/>
    <x v="115"/>
    <x v="114"/>
    <x v="2"/>
    <x v="2"/>
  </r>
  <r>
    <x v="130"/>
    <x v="68"/>
    <x v="115"/>
    <x v="2"/>
    <x v="2"/>
  </r>
  <r>
    <x v="131"/>
    <x v="0"/>
    <x v="116"/>
    <x v="9"/>
    <x v="13"/>
  </r>
  <r>
    <x v="132"/>
    <x v="116"/>
    <x v="117"/>
    <x v="3"/>
    <x v="3"/>
  </r>
  <r>
    <x v="133"/>
    <x v="117"/>
    <x v="15"/>
    <x v="3"/>
    <x v="3"/>
  </r>
  <r>
    <x v="134"/>
    <x v="118"/>
    <x v="31"/>
    <x v="2"/>
    <x v="2"/>
  </r>
  <r>
    <x v="135"/>
    <x v="119"/>
    <x v="118"/>
    <x v="3"/>
    <x v="3"/>
  </r>
  <r>
    <x v="136"/>
    <x v="120"/>
    <x v="119"/>
    <x v="2"/>
    <x v="2"/>
  </r>
  <r>
    <x v="137"/>
    <x v="94"/>
    <x v="120"/>
    <x v="18"/>
    <x v="24"/>
  </r>
  <r>
    <x v="138"/>
    <x v="121"/>
    <x v="121"/>
    <x v="3"/>
    <x v="3"/>
  </r>
  <r>
    <x v="139"/>
    <x v="122"/>
    <x v="66"/>
    <x v="18"/>
    <x v="24"/>
  </r>
  <r>
    <x v="140"/>
    <x v="123"/>
    <x v="50"/>
    <x v="2"/>
    <x v="2"/>
  </r>
  <r>
    <x v="141"/>
    <x v="63"/>
    <x v="9"/>
    <x v="0"/>
    <x v="0"/>
  </r>
  <r>
    <x v="142"/>
    <x v="67"/>
    <x v="122"/>
    <x v="3"/>
    <x v="3"/>
  </r>
  <r>
    <x v="143"/>
    <x v="124"/>
    <x v="123"/>
    <x v="1"/>
    <x v="1"/>
  </r>
  <r>
    <x v="144"/>
    <x v="125"/>
    <x v="124"/>
    <x v="13"/>
    <x v="16"/>
  </r>
  <r>
    <x v="145"/>
    <x v="126"/>
    <x v="89"/>
    <x v="5"/>
    <x v="8"/>
  </r>
  <r>
    <x v="146"/>
    <x v="127"/>
    <x v="125"/>
    <x v="12"/>
    <x v="15"/>
  </r>
  <r>
    <x v="147"/>
    <x v="128"/>
    <x v="126"/>
    <x v="17"/>
    <x v="23"/>
  </r>
  <r>
    <x v="148"/>
    <x v="113"/>
    <x v="15"/>
    <x v="7"/>
    <x v="10"/>
  </r>
  <r>
    <x v="149"/>
    <x v="129"/>
    <x v="15"/>
    <x v="8"/>
    <x v="22"/>
  </r>
  <r>
    <x v="150"/>
    <x v="130"/>
    <x v="127"/>
    <x v="4"/>
    <x v="6"/>
  </r>
  <r>
    <x v="151"/>
    <x v="113"/>
    <x v="128"/>
    <x v="11"/>
    <x v="11"/>
  </r>
  <r>
    <x v="152"/>
    <x v="94"/>
    <x v="129"/>
    <x v="2"/>
    <x v="2"/>
  </r>
  <r>
    <x v="153"/>
    <x v="131"/>
    <x v="130"/>
    <x v="2"/>
    <x v="2"/>
  </r>
  <r>
    <x v="154"/>
    <x v="132"/>
    <x v="44"/>
    <x v="14"/>
    <x v="18"/>
  </r>
  <r>
    <x v="155"/>
    <x v="73"/>
    <x v="131"/>
    <x v="16"/>
    <x v="20"/>
  </r>
  <r>
    <x v="156"/>
    <x v="111"/>
    <x v="132"/>
    <x v="2"/>
    <x v="2"/>
  </r>
  <r>
    <x v="157"/>
    <x v="133"/>
    <x v="133"/>
    <x v="3"/>
    <x v="12"/>
  </r>
  <r>
    <x v="158"/>
    <x v="45"/>
    <x v="134"/>
    <x v="2"/>
    <x v="2"/>
  </r>
  <r>
    <x v="159"/>
    <x v="134"/>
    <x v="135"/>
    <x v="3"/>
    <x v="3"/>
  </r>
  <r>
    <x v="160"/>
    <x v="135"/>
    <x v="136"/>
    <x v="2"/>
    <x v="5"/>
  </r>
  <r>
    <x v="161"/>
    <x v="128"/>
    <x v="137"/>
    <x v="18"/>
    <x v="24"/>
  </r>
  <r>
    <x v="162"/>
    <x v="123"/>
    <x v="138"/>
    <x v="3"/>
    <x v="3"/>
  </r>
  <r>
    <x v="163"/>
    <x v="136"/>
    <x v="75"/>
    <x v="15"/>
    <x v="19"/>
  </r>
  <r>
    <x v="164"/>
    <x v="137"/>
    <x v="139"/>
    <x v="8"/>
    <x v="11"/>
  </r>
  <r>
    <x v="165"/>
    <x v="138"/>
    <x v="77"/>
    <x v="16"/>
    <x v="20"/>
  </r>
  <r>
    <x v="166"/>
    <x v="139"/>
    <x v="30"/>
    <x v="13"/>
    <x v="16"/>
  </r>
  <r>
    <x v="167"/>
    <x v="45"/>
    <x v="140"/>
    <x v="9"/>
    <x v="13"/>
  </r>
  <r>
    <x v="168"/>
    <x v="140"/>
    <x v="141"/>
    <x v="1"/>
    <x v="1"/>
  </r>
  <r>
    <x v="169"/>
    <x v="78"/>
    <x v="142"/>
    <x v="3"/>
    <x v="3"/>
  </r>
  <r>
    <x v="170"/>
    <x v="0"/>
    <x v="143"/>
    <x v="2"/>
    <x v="2"/>
  </r>
  <r>
    <x v="171"/>
    <x v="132"/>
    <x v="144"/>
    <x v="15"/>
    <x v="19"/>
  </r>
  <r>
    <x v="172"/>
    <x v="141"/>
    <x v="145"/>
    <x v="16"/>
    <x v="20"/>
  </r>
  <r>
    <x v="173"/>
    <x v="142"/>
    <x v="64"/>
    <x v="6"/>
    <x v="9"/>
  </r>
  <r>
    <x v="174"/>
    <x v="143"/>
    <x v="146"/>
    <x v="2"/>
    <x v="5"/>
  </r>
  <r>
    <x v="175"/>
    <x v="48"/>
    <x v="147"/>
    <x v="3"/>
    <x v="3"/>
  </r>
  <r>
    <x v="176"/>
    <x v="144"/>
    <x v="148"/>
    <x v="8"/>
    <x v="11"/>
  </r>
  <r>
    <x v="177"/>
    <x v="145"/>
    <x v="149"/>
    <x v="12"/>
    <x v="21"/>
  </r>
  <r>
    <x v="178"/>
    <x v="48"/>
    <x v="150"/>
    <x v="2"/>
    <x v="2"/>
  </r>
  <r>
    <x v="179"/>
    <x v="146"/>
    <x v="37"/>
    <x v="3"/>
    <x v="3"/>
  </r>
  <r>
    <x v="180"/>
    <x v="147"/>
    <x v="151"/>
    <x v="6"/>
    <x v="9"/>
  </r>
  <r>
    <x v="181"/>
    <x v="148"/>
    <x v="131"/>
    <x v="16"/>
    <x v="20"/>
  </r>
  <r>
    <x v="182"/>
    <x v="149"/>
    <x v="152"/>
    <x v="14"/>
    <x v="18"/>
  </r>
  <r>
    <x v="183"/>
    <x v="5"/>
    <x v="153"/>
    <x v="12"/>
    <x v="15"/>
  </r>
  <r>
    <x v="184"/>
    <x v="150"/>
    <x v="154"/>
    <x v="2"/>
    <x v="2"/>
  </r>
  <r>
    <x v="185"/>
    <x v="151"/>
    <x v="155"/>
    <x v="10"/>
    <x v="14"/>
  </r>
  <r>
    <x v="186"/>
    <x v="116"/>
    <x v="156"/>
    <x v="12"/>
    <x v="15"/>
  </r>
  <r>
    <x v="187"/>
    <x v="127"/>
    <x v="43"/>
    <x v="0"/>
    <x v="4"/>
  </r>
  <r>
    <x v="188"/>
    <x v="152"/>
    <x v="131"/>
    <x v="16"/>
    <x v="20"/>
  </r>
  <r>
    <x v="189"/>
    <x v="153"/>
    <x v="157"/>
    <x v="7"/>
    <x v="10"/>
  </r>
  <r>
    <x v="190"/>
    <x v="154"/>
    <x v="158"/>
    <x v="2"/>
    <x v="2"/>
  </r>
  <r>
    <x v="191"/>
    <x v="155"/>
    <x v="159"/>
    <x v="12"/>
    <x v="21"/>
  </r>
  <r>
    <x v="192"/>
    <x v="75"/>
    <x v="102"/>
    <x v="0"/>
    <x v="17"/>
  </r>
  <r>
    <x v="193"/>
    <x v="156"/>
    <x v="160"/>
    <x v="3"/>
    <x v="3"/>
  </r>
  <r>
    <x v="194"/>
    <x v="157"/>
    <x v="84"/>
    <x v="2"/>
    <x v="2"/>
  </r>
  <r>
    <x v="195"/>
    <x v="158"/>
    <x v="161"/>
    <x v="2"/>
    <x v="2"/>
  </r>
  <r>
    <x v="196"/>
    <x v="74"/>
    <x v="162"/>
    <x v="18"/>
    <x v="24"/>
  </r>
  <r>
    <x v="197"/>
    <x v="63"/>
    <x v="163"/>
    <x v="2"/>
    <x v="2"/>
  </r>
  <r>
    <x v="198"/>
    <x v="70"/>
    <x v="93"/>
    <x v="3"/>
    <x v="3"/>
  </r>
  <r>
    <x v="199"/>
    <x v="42"/>
    <x v="79"/>
    <x v="2"/>
    <x v="2"/>
  </r>
  <r>
    <x v="200"/>
    <x v="159"/>
    <x v="164"/>
    <x v="1"/>
    <x v="1"/>
  </r>
  <r>
    <x v="201"/>
    <x v="25"/>
    <x v="165"/>
    <x v="3"/>
    <x v="3"/>
  </r>
  <r>
    <x v="202"/>
    <x v="125"/>
    <x v="104"/>
    <x v="15"/>
    <x v="19"/>
  </r>
  <r>
    <x v="203"/>
    <x v="160"/>
    <x v="166"/>
    <x v="2"/>
    <x v="2"/>
  </r>
  <r>
    <x v="204"/>
    <x v="40"/>
    <x v="47"/>
    <x v="3"/>
    <x v="12"/>
  </r>
  <r>
    <x v="205"/>
    <x v="67"/>
    <x v="167"/>
    <x v="5"/>
    <x v="8"/>
  </r>
  <r>
    <x v="206"/>
    <x v="17"/>
    <x v="123"/>
    <x v="2"/>
    <x v="5"/>
  </r>
  <r>
    <x v="207"/>
    <x v="161"/>
    <x v="105"/>
    <x v="13"/>
    <x v="16"/>
  </r>
  <r>
    <x v="208"/>
    <x v="162"/>
    <x v="84"/>
    <x v="9"/>
    <x v="13"/>
  </r>
  <r>
    <x v="209"/>
    <x v="163"/>
    <x v="168"/>
    <x v="13"/>
    <x v="16"/>
  </r>
  <r>
    <x v="210"/>
    <x v="148"/>
    <x v="124"/>
    <x v="13"/>
    <x v="16"/>
  </r>
  <r>
    <x v="211"/>
    <x v="0"/>
    <x v="169"/>
    <x v="6"/>
    <x v="9"/>
  </r>
  <r>
    <x v="212"/>
    <x v="164"/>
    <x v="127"/>
    <x v="3"/>
    <x v="12"/>
  </r>
  <r>
    <x v="213"/>
    <x v="165"/>
    <x v="170"/>
    <x v="16"/>
    <x v="20"/>
  </r>
  <r>
    <x v="214"/>
    <x v="26"/>
    <x v="171"/>
    <x v="2"/>
    <x v="2"/>
  </r>
  <r>
    <x v="215"/>
    <x v="166"/>
    <x v="172"/>
    <x v="12"/>
    <x v="21"/>
  </r>
  <r>
    <x v="216"/>
    <x v="46"/>
    <x v="173"/>
    <x v="3"/>
    <x v="3"/>
  </r>
  <r>
    <x v="217"/>
    <x v="167"/>
    <x v="174"/>
    <x v="4"/>
    <x v="6"/>
  </r>
  <r>
    <x v="218"/>
    <x v="94"/>
    <x v="175"/>
    <x v="17"/>
    <x v="23"/>
  </r>
  <r>
    <x v="219"/>
    <x v="63"/>
    <x v="176"/>
    <x v="5"/>
    <x v="7"/>
  </r>
  <r>
    <x v="220"/>
    <x v="21"/>
    <x v="177"/>
    <x v="2"/>
    <x v="2"/>
  </r>
  <r>
    <x v="221"/>
    <x v="168"/>
    <x v="178"/>
    <x v="2"/>
    <x v="2"/>
  </r>
  <r>
    <x v="222"/>
    <x v="94"/>
    <x v="179"/>
    <x v="10"/>
    <x v="14"/>
  </r>
  <r>
    <x v="223"/>
    <x v="169"/>
    <x v="85"/>
    <x v="2"/>
    <x v="2"/>
  </r>
  <r>
    <x v="224"/>
    <x v="170"/>
    <x v="179"/>
    <x v="10"/>
    <x v="14"/>
  </r>
  <r>
    <x v="225"/>
    <x v="66"/>
    <x v="180"/>
    <x v="3"/>
    <x v="3"/>
  </r>
  <r>
    <x v="226"/>
    <x v="171"/>
    <x v="181"/>
    <x v="4"/>
    <x v="6"/>
  </r>
  <r>
    <x v="227"/>
    <x v="172"/>
    <x v="59"/>
    <x v="4"/>
    <x v="6"/>
  </r>
  <r>
    <x v="228"/>
    <x v="67"/>
    <x v="182"/>
    <x v="15"/>
    <x v="19"/>
  </r>
  <r>
    <x v="229"/>
    <x v="66"/>
    <x v="167"/>
    <x v="2"/>
    <x v="2"/>
  </r>
  <r>
    <x v="230"/>
    <x v="172"/>
    <x v="183"/>
    <x v="5"/>
    <x v="8"/>
  </r>
  <r>
    <x v="231"/>
    <x v="21"/>
    <x v="184"/>
    <x v="3"/>
    <x v="3"/>
  </r>
  <r>
    <x v="232"/>
    <x v="173"/>
    <x v="185"/>
    <x v="11"/>
    <x v="11"/>
  </r>
  <r>
    <x v="233"/>
    <x v="148"/>
    <x v="12"/>
    <x v="2"/>
    <x v="2"/>
  </r>
  <r>
    <x v="234"/>
    <x v="174"/>
    <x v="186"/>
    <x v="13"/>
    <x v="16"/>
  </r>
  <r>
    <x v="235"/>
    <x v="175"/>
    <x v="79"/>
    <x v="1"/>
    <x v="1"/>
  </r>
  <r>
    <x v="236"/>
    <x v="176"/>
    <x v="187"/>
    <x v="18"/>
    <x v="24"/>
  </r>
  <r>
    <x v="237"/>
    <x v="177"/>
    <x v="188"/>
    <x v="10"/>
    <x v="14"/>
  </r>
  <r>
    <x v="238"/>
    <x v="136"/>
    <x v="189"/>
    <x v="2"/>
    <x v="2"/>
  </r>
  <r>
    <x v="239"/>
    <x v="178"/>
    <x v="190"/>
    <x v="3"/>
    <x v="12"/>
  </r>
  <r>
    <x v="240"/>
    <x v="12"/>
    <x v="191"/>
    <x v="1"/>
    <x v="1"/>
  </r>
  <r>
    <x v="241"/>
    <x v="179"/>
    <x v="192"/>
    <x v="13"/>
    <x v="16"/>
  </r>
  <r>
    <x v="242"/>
    <x v="37"/>
    <x v="193"/>
    <x v="3"/>
    <x v="3"/>
  </r>
  <r>
    <x v="243"/>
    <x v="163"/>
    <x v="44"/>
    <x v="14"/>
    <x v="18"/>
  </r>
  <r>
    <x v="244"/>
    <x v="180"/>
    <x v="19"/>
    <x v="17"/>
    <x v="23"/>
  </r>
  <r>
    <x v="245"/>
    <x v="111"/>
    <x v="194"/>
    <x v="13"/>
    <x v="16"/>
  </r>
  <r>
    <x v="246"/>
    <x v="181"/>
    <x v="195"/>
    <x v="6"/>
    <x v="9"/>
  </r>
  <r>
    <x v="247"/>
    <x v="182"/>
    <x v="13"/>
    <x v="6"/>
    <x v="9"/>
  </r>
  <r>
    <x v="248"/>
    <x v="28"/>
    <x v="159"/>
    <x v="12"/>
    <x v="21"/>
  </r>
  <r>
    <x v="249"/>
    <x v="183"/>
    <x v="195"/>
    <x v="0"/>
    <x v="17"/>
  </r>
  <r>
    <x v="250"/>
    <x v="184"/>
    <x v="178"/>
    <x v="2"/>
    <x v="2"/>
  </r>
  <r>
    <x v="251"/>
    <x v="55"/>
    <x v="123"/>
    <x v="16"/>
    <x v="20"/>
  </r>
  <r>
    <x v="252"/>
    <x v="43"/>
    <x v="157"/>
    <x v="7"/>
    <x v="10"/>
  </r>
  <r>
    <x v="253"/>
    <x v="185"/>
    <x v="196"/>
    <x v="10"/>
    <x v="14"/>
  </r>
  <r>
    <x v="254"/>
    <x v="140"/>
    <x v="164"/>
    <x v="1"/>
    <x v="1"/>
  </r>
  <r>
    <x v="255"/>
    <x v="186"/>
    <x v="197"/>
    <x v="15"/>
    <x v="19"/>
  </r>
  <r>
    <x v="256"/>
    <x v="89"/>
    <x v="198"/>
    <x v="1"/>
    <x v="1"/>
  </r>
  <r>
    <x v="257"/>
    <x v="187"/>
    <x v="199"/>
    <x v="13"/>
    <x v="16"/>
  </r>
  <r>
    <x v="258"/>
    <x v="188"/>
    <x v="38"/>
    <x v="3"/>
    <x v="3"/>
  </r>
  <r>
    <x v="259"/>
    <x v="189"/>
    <x v="7"/>
    <x v="2"/>
    <x v="5"/>
  </r>
  <r>
    <x v="260"/>
    <x v="32"/>
    <x v="200"/>
    <x v="5"/>
    <x v="8"/>
  </r>
  <r>
    <x v="261"/>
    <x v="190"/>
    <x v="155"/>
    <x v="2"/>
    <x v="2"/>
  </r>
  <r>
    <x v="262"/>
    <x v="191"/>
    <x v="201"/>
    <x v="0"/>
    <x v="17"/>
  </r>
  <r>
    <x v="263"/>
    <x v="68"/>
    <x v="202"/>
    <x v="8"/>
    <x v="22"/>
  </r>
  <r>
    <x v="264"/>
    <x v="192"/>
    <x v="203"/>
    <x v="8"/>
    <x v="22"/>
  </r>
  <r>
    <x v="265"/>
    <x v="45"/>
    <x v="204"/>
    <x v="18"/>
    <x v="24"/>
  </r>
  <r>
    <x v="266"/>
    <x v="23"/>
    <x v="92"/>
    <x v="1"/>
    <x v="1"/>
  </r>
  <r>
    <x v="267"/>
    <x v="193"/>
    <x v="205"/>
    <x v="3"/>
    <x v="3"/>
  </r>
  <r>
    <x v="268"/>
    <x v="57"/>
    <x v="206"/>
    <x v="2"/>
    <x v="2"/>
  </r>
  <r>
    <x v="269"/>
    <x v="33"/>
    <x v="20"/>
    <x v="8"/>
    <x v="11"/>
  </r>
  <r>
    <x v="270"/>
    <x v="70"/>
    <x v="207"/>
    <x v="3"/>
    <x v="3"/>
  </r>
  <r>
    <x v="271"/>
    <x v="113"/>
    <x v="208"/>
    <x v="2"/>
    <x v="2"/>
  </r>
  <r>
    <x v="272"/>
    <x v="72"/>
    <x v="209"/>
    <x v="17"/>
    <x v="23"/>
  </r>
  <r>
    <x v="273"/>
    <x v="194"/>
    <x v="84"/>
    <x v="9"/>
    <x v="13"/>
  </r>
  <r>
    <x v="274"/>
    <x v="68"/>
    <x v="210"/>
    <x v="0"/>
    <x v="4"/>
  </r>
  <r>
    <x v="275"/>
    <x v="195"/>
    <x v="30"/>
    <x v="13"/>
    <x v="16"/>
  </r>
  <r>
    <x v="276"/>
    <x v="196"/>
    <x v="211"/>
    <x v="3"/>
    <x v="3"/>
  </r>
  <r>
    <x v="277"/>
    <x v="115"/>
    <x v="99"/>
    <x v="3"/>
    <x v="3"/>
  </r>
  <r>
    <x v="278"/>
    <x v="197"/>
    <x v="49"/>
    <x v="10"/>
    <x v="14"/>
  </r>
  <r>
    <x v="279"/>
    <x v="198"/>
    <x v="73"/>
    <x v="18"/>
    <x v="24"/>
  </r>
  <r>
    <x v="280"/>
    <x v="199"/>
    <x v="212"/>
    <x v="3"/>
    <x v="3"/>
  </r>
  <r>
    <x v="281"/>
    <x v="168"/>
    <x v="213"/>
    <x v="16"/>
    <x v="20"/>
  </r>
  <r>
    <x v="282"/>
    <x v="200"/>
    <x v="214"/>
    <x v="12"/>
    <x v="21"/>
  </r>
  <r>
    <x v="283"/>
    <x v="201"/>
    <x v="39"/>
    <x v="12"/>
    <x v="21"/>
  </r>
  <r>
    <x v="284"/>
    <x v="18"/>
    <x v="215"/>
    <x v="0"/>
    <x v="17"/>
  </r>
  <r>
    <x v="285"/>
    <x v="202"/>
    <x v="216"/>
    <x v="8"/>
    <x v="11"/>
  </r>
  <r>
    <x v="286"/>
    <x v="203"/>
    <x v="217"/>
    <x v="6"/>
    <x v="9"/>
  </r>
  <r>
    <x v="287"/>
    <x v="204"/>
    <x v="138"/>
    <x v="8"/>
    <x v="22"/>
  </r>
  <r>
    <x v="288"/>
    <x v="205"/>
    <x v="218"/>
    <x v="9"/>
    <x v="13"/>
  </r>
  <r>
    <x v="289"/>
    <x v="52"/>
    <x v="219"/>
    <x v="17"/>
    <x v="23"/>
  </r>
  <r>
    <x v="290"/>
    <x v="55"/>
    <x v="220"/>
    <x v="14"/>
    <x v="18"/>
  </r>
  <r>
    <x v="291"/>
    <x v="8"/>
    <x v="221"/>
    <x v="5"/>
    <x v="8"/>
  </r>
  <r>
    <x v="292"/>
    <x v="206"/>
    <x v="84"/>
    <x v="0"/>
    <x v="17"/>
  </r>
  <r>
    <x v="293"/>
    <x v="89"/>
    <x v="222"/>
    <x v="3"/>
    <x v="3"/>
  </r>
  <r>
    <x v="294"/>
    <x v="1"/>
    <x v="223"/>
    <x v="1"/>
    <x v="1"/>
  </r>
  <r>
    <x v="295"/>
    <x v="178"/>
    <x v="7"/>
    <x v="2"/>
    <x v="5"/>
  </r>
  <r>
    <x v="296"/>
    <x v="207"/>
    <x v="224"/>
    <x v="12"/>
    <x v="21"/>
  </r>
  <r>
    <x v="297"/>
    <x v="127"/>
    <x v="225"/>
    <x v="8"/>
    <x v="22"/>
  </r>
  <r>
    <x v="298"/>
    <x v="69"/>
    <x v="226"/>
    <x v="12"/>
    <x v="21"/>
  </r>
  <r>
    <x v="299"/>
    <x v="208"/>
    <x v="227"/>
    <x v="11"/>
    <x v="11"/>
  </r>
  <r>
    <x v="300"/>
    <x v="18"/>
    <x v="228"/>
    <x v="9"/>
    <x v="13"/>
  </r>
  <r>
    <x v="301"/>
    <x v="1"/>
    <x v="229"/>
    <x v="3"/>
    <x v="3"/>
  </r>
  <r>
    <x v="302"/>
    <x v="209"/>
    <x v="123"/>
    <x v="3"/>
    <x v="3"/>
  </r>
  <r>
    <x v="303"/>
    <x v="210"/>
    <x v="120"/>
    <x v="18"/>
    <x v="24"/>
  </r>
  <r>
    <x v="304"/>
    <x v="78"/>
    <x v="189"/>
    <x v="5"/>
    <x v="7"/>
  </r>
  <r>
    <x v="305"/>
    <x v="211"/>
    <x v="230"/>
    <x v="1"/>
    <x v="1"/>
  </r>
  <r>
    <x v="306"/>
    <x v="212"/>
    <x v="231"/>
    <x v="10"/>
    <x v="14"/>
  </r>
  <r>
    <x v="307"/>
    <x v="45"/>
    <x v="216"/>
    <x v="7"/>
    <x v="10"/>
  </r>
  <r>
    <x v="308"/>
    <x v="213"/>
    <x v="232"/>
    <x v="11"/>
    <x v="11"/>
  </r>
  <r>
    <x v="309"/>
    <x v="133"/>
    <x v="233"/>
    <x v="15"/>
    <x v="19"/>
  </r>
  <r>
    <x v="310"/>
    <x v="67"/>
    <x v="84"/>
    <x v="4"/>
    <x v="6"/>
  </r>
  <r>
    <x v="311"/>
    <x v="148"/>
    <x v="100"/>
    <x v="3"/>
    <x v="3"/>
  </r>
  <r>
    <x v="312"/>
    <x v="214"/>
    <x v="234"/>
    <x v="8"/>
    <x v="22"/>
  </r>
  <r>
    <x v="313"/>
    <x v="215"/>
    <x v="235"/>
    <x v="2"/>
    <x v="5"/>
  </r>
  <r>
    <x v="314"/>
    <x v="216"/>
    <x v="37"/>
    <x v="3"/>
    <x v="3"/>
  </r>
  <r>
    <x v="315"/>
    <x v="72"/>
    <x v="157"/>
    <x v="7"/>
    <x v="10"/>
  </r>
  <r>
    <x v="316"/>
    <x v="133"/>
    <x v="236"/>
    <x v="12"/>
    <x v="21"/>
  </r>
  <r>
    <x v="317"/>
    <x v="217"/>
    <x v="237"/>
    <x v="9"/>
    <x v="13"/>
  </r>
  <r>
    <x v="318"/>
    <x v="23"/>
    <x v="238"/>
    <x v="12"/>
    <x v="21"/>
  </r>
  <r>
    <x v="319"/>
    <x v="218"/>
    <x v="218"/>
    <x v="9"/>
    <x v="13"/>
  </r>
  <r>
    <x v="320"/>
    <x v="25"/>
    <x v="239"/>
    <x v="5"/>
    <x v="7"/>
  </r>
  <r>
    <x v="321"/>
    <x v="145"/>
    <x v="104"/>
    <x v="15"/>
    <x v="19"/>
  </r>
  <r>
    <x v="322"/>
    <x v="219"/>
    <x v="240"/>
    <x v="15"/>
    <x v="19"/>
  </r>
  <r>
    <x v="323"/>
    <x v="7"/>
    <x v="59"/>
    <x v="4"/>
    <x v="6"/>
  </r>
  <r>
    <x v="324"/>
    <x v="50"/>
    <x v="172"/>
    <x v="12"/>
    <x v="21"/>
  </r>
  <r>
    <x v="325"/>
    <x v="220"/>
    <x v="37"/>
    <x v="3"/>
    <x v="3"/>
  </r>
  <r>
    <x v="326"/>
    <x v="57"/>
    <x v="241"/>
    <x v="5"/>
    <x v="8"/>
  </r>
  <r>
    <x v="327"/>
    <x v="72"/>
    <x v="242"/>
    <x v="18"/>
    <x v="24"/>
  </r>
  <r>
    <x v="328"/>
    <x v="221"/>
    <x v="243"/>
    <x v="9"/>
    <x v="13"/>
  </r>
  <r>
    <x v="329"/>
    <x v="222"/>
    <x v="244"/>
    <x v="1"/>
    <x v="1"/>
  </r>
  <r>
    <x v="330"/>
    <x v="32"/>
    <x v="245"/>
    <x v="2"/>
    <x v="5"/>
  </r>
  <r>
    <x v="331"/>
    <x v="7"/>
    <x v="190"/>
    <x v="3"/>
    <x v="12"/>
  </r>
  <r>
    <x v="332"/>
    <x v="32"/>
    <x v="246"/>
    <x v="2"/>
    <x v="2"/>
  </r>
  <r>
    <x v="333"/>
    <x v="223"/>
    <x v="247"/>
    <x v="1"/>
    <x v="1"/>
  </r>
  <r>
    <x v="334"/>
    <x v="66"/>
    <x v="248"/>
    <x v="0"/>
    <x v="17"/>
  </r>
  <r>
    <x v="335"/>
    <x v="224"/>
    <x v="249"/>
    <x v="15"/>
    <x v="19"/>
  </r>
  <r>
    <x v="336"/>
    <x v="225"/>
    <x v="250"/>
    <x v="13"/>
    <x v="16"/>
  </r>
  <r>
    <x v="337"/>
    <x v="226"/>
    <x v="251"/>
    <x v="5"/>
    <x v="7"/>
  </r>
  <r>
    <x v="338"/>
    <x v="227"/>
    <x v="252"/>
    <x v="4"/>
    <x v="6"/>
  </r>
  <r>
    <x v="339"/>
    <x v="69"/>
    <x v="173"/>
    <x v="3"/>
    <x v="3"/>
  </r>
  <r>
    <x v="340"/>
    <x v="228"/>
    <x v="13"/>
    <x v="6"/>
    <x v="9"/>
  </r>
  <r>
    <x v="341"/>
    <x v="229"/>
    <x v="253"/>
    <x v="10"/>
    <x v="14"/>
  </r>
  <r>
    <x v="342"/>
    <x v="36"/>
    <x v="98"/>
    <x v="8"/>
    <x v="11"/>
  </r>
  <r>
    <x v="343"/>
    <x v="230"/>
    <x v="254"/>
    <x v="5"/>
    <x v="8"/>
  </r>
  <r>
    <x v="344"/>
    <x v="231"/>
    <x v="255"/>
    <x v="3"/>
    <x v="3"/>
  </r>
  <r>
    <x v="345"/>
    <x v="1"/>
    <x v="16"/>
    <x v="12"/>
    <x v="15"/>
  </r>
  <r>
    <x v="346"/>
    <x v="232"/>
    <x v="256"/>
    <x v="3"/>
    <x v="12"/>
  </r>
  <r>
    <x v="347"/>
    <x v="63"/>
    <x v="74"/>
    <x v="12"/>
    <x v="15"/>
  </r>
  <r>
    <x v="348"/>
    <x v="43"/>
    <x v="209"/>
    <x v="17"/>
    <x v="23"/>
  </r>
  <r>
    <x v="349"/>
    <x v="233"/>
    <x v="257"/>
    <x v="4"/>
    <x v="6"/>
  </r>
  <r>
    <x v="350"/>
    <x v="234"/>
    <x v="258"/>
    <x v="2"/>
    <x v="2"/>
  </r>
  <r>
    <x v="351"/>
    <x v="156"/>
    <x v="259"/>
    <x v="11"/>
    <x v="11"/>
  </r>
  <r>
    <x v="352"/>
    <x v="235"/>
    <x v="260"/>
    <x v="15"/>
    <x v="19"/>
  </r>
  <r>
    <x v="353"/>
    <x v="236"/>
    <x v="216"/>
    <x v="8"/>
    <x v="11"/>
  </r>
  <r>
    <x v="354"/>
    <x v="237"/>
    <x v="19"/>
    <x v="6"/>
    <x v="9"/>
  </r>
  <r>
    <x v="355"/>
    <x v="238"/>
    <x v="261"/>
    <x v="2"/>
    <x v="2"/>
  </r>
  <r>
    <x v="356"/>
    <x v="163"/>
    <x v="144"/>
    <x v="15"/>
    <x v="19"/>
  </r>
  <r>
    <x v="357"/>
    <x v="239"/>
    <x v="262"/>
    <x v="2"/>
    <x v="2"/>
  </r>
  <r>
    <x v="358"/>
    <x v="70"/>
    <x v="263"/>
    <x v="2"/>
    <x v="2"/>
  </r>
  <r>
    <x v="359"/>
    <x v="240"/>
    <x v="105"/>
    <x v="15"/>
    <x v="19"/>
  </r>
  <r>
    <x v="360"/>
    <x v="68"/>
    <x v="136"/>
    <x v="12"/>
    <x v="15"/>
  </r>
  <r>
    <x v="361"/>
    <x v="241"/>
    <x v="114"/>
    <x v="7"/>
    <x v="10"/>
  </r>
  <r>
    <x v="362"/>
    <x v="8"/>
    <x v="264"/>
    <x v="2"/>
    <x v="5"/>
  </r>
  <r>
    <x v="363"/>
    <x v="242"/>
    <x v="265"/>
    <x v="6"/>
    <x v="9"/>
  </r>
  <r>
    <x v="364"/>
    <x v="243"/>
    <x v="218"/>
    <x v="9"/>
    <x v="13"/>
  </r>
  <r>
    <x v="365"/>
    <x v="69"/>
    <x v="266"/>
    <x v="2"/>
    <x v="2"/>
  </r>
  <r>
    <x v="366"/>
    <x v="244"/>
    <x v="267"/>
    <x v="8"/>
    <x v="22"/>
  </r>
  <r>
    <x v="367"/>
    <x v="63"/>
    <x v="268"/>
    <x v="3"/>
    <x v="3"/>
  </r>
  <r>
    <x v="368"/>
    <x v="240"/>
    <x v="269"/>
    <x v="12"/>
    <x v="21"/>
  </r>
  <r>
    <x v="369"/>
    <x v="245"/>
    <x v="87"/>
    <x v="5"/>
    <x v="7"/>
  </r>
  <r>
    <x v="370"/>
    <x v="246"/>
    <x v="270"/>
    <x v="5"/>
    <x v="7"/>
  </r>
  <r>
    <x v="371"/>
    <x v="94"/>
    <x v="271"/>
    <x v="3"/>
    <x v="3"/>
  </r>
  <r>
    <x v="372"/>
    <x v="247"/>
    <x v="209"/>
    <x v="17"/>
    <x v="23"/>
  </r>
  <r>
    <x v="373"/>
    <x v="248"/>
    <x v="272"/>
    <x v="12"/>
    <x v="15"/>
  </r>
  <r>
    <x v="374"/>
    <x v="111"/>
    <x v="73"/>
    <x v="2"/>
    <x v="2"/>
  </r>
  <r>
    <x v="375"/>
    <x v="18"/>
    <x v="195"/>
    <x v="14"/>
    <x v="18"/>
  </r>
  <r>
    <x v="376"/>
    <x v="132"/>
    <x v="273"/>
    <x v="16"/>
    <x v="20"/>
  </r>
  <r>
    <x v="377"/>
    <x v="249"/>
    <x v="274"/>
    <x v="0"/>
    <x v="17"/>
  </r>
  <r>
    <x v="378"/>
    <x v="250"/>
    <x v="97"/>
    <x v="3"/>
    <x v="3"/>
  </r>
  <r>
    <x v="379"/>
    <x v="68"/>
    <x v="275"/>
    <x v="12"/>
    <x v="15"/>
  </r>
  <r>
    <x v="380"/>
    <x v="26"/>
    <x v="276"/>
    <x v="3"/>
    <x v="3"/>
  </r>
  <r>
    <x v="381"/>
    <x v="251"/>
    <x v="277"/>
    <x v="1"/>
    <x v="1"/>
  </r>
  <r>
    <x v="382"/>
    <x v="252"/>
    <x v="278"/>
    <x v="1"/>
    <x v="1"/>
  </r>
  <r>
    <x v="383"/>
    <x v="253"/>
    <x v="279"/>
    <x v="3"/>
    <x v="3"/>
  </r>
  <r>
    <x v="384"/>
    <x v="254"/>
    <x v="180"/>
    <x v="3"/>
    <x v="12"/>
  </r>
  <r>
    <x v="385"/>
    <x v="18"/>
    <x v="280"/>
    <x v="2"/>
    <x v="2"/>
  </r>
  <r>
    <x v="386"/>
    <x v="255"/>
    <x v="175"/>
    <x v="2"/>
    <x v="2"/>
  </r>
  <r>
    <x v="387"/>
    <x v="256"/>
    <x v="26"/>
    <x v="3"/>
    <x v="12"/>
  </r>
  <r>
    <x v="388"/>
    <x v="257"/>
    <x v="281"/>
    <x v="0"/>
    <x v="4"/>
  </r>
  <r>
    <x v="389"/>
    <x v="258"/>
    <x v="282"/>
    <x v="0"/>
    <x v="17"/>
  </r>
  <r>
    <x v="390"/>
    <x v="259"/>
    <x v="283"/>
    <x v="0"/>
    <x v="17"/>
  </r>
  <r>
    <x v="391"/>
    <x v="260"/>
    <x v="284"/>
    <x v="3"/>
    <x v="3"/>
  </r>
  <r>
    <x v="392"/>
    <x v="7"/>
    <x v="183"/>
    <x v="5"/>
    <x v="8"/>
  </r>
  <r>
    <x v="393"/>
    <x v="261"/>
    <x v="102"/>
    <x v="0"/>
    <x v="17"/>
  </r>
  <r>
    <x v="394"/>
    <x v="262"/>
    <x v="285"/>
    <x v="3"/>
    <x v="3"/>
  </r>
  <r>
    <x v="395"/>
    <x v="113"/>
    <x v="286"/>
    <x v="8"/>
    <x v="11"/>
  </r>
  <r>
    <x v="396"/>
    <x v="263"/>
    <x v="57"/>
    <x v="5"/>
    <x v="8"/>
  </r>
  <r>
    <x v="397"/>
    <x v="36"/>
    <x v="232"/>
    <x v="11"/>
    <x v="11"/>
  </r>
  <r>
    <x v="398"/>
    <x v="264"/>
    <x v="168"/>
    <x v="13"/>
    <x v="16"/>
  </r>
  <r>
    <x v="399"/>
    <x v="265"/>
    <x v="80"/>
    <x v="2"/>
    <x v="5"/>
  </r>
  <r>
    <x v="400"/>
    <x v="23"/>
    <x v="287"/>
    <x v="15"/>
    <x v="19"/>
  </r>
  <r>
    <x v="401"/>
    <x v="113"/>
    <x v="288"/>
    <x v="3"/>
    <x v="3"/>
  </r>
  <r>
    <x v="402"/>
    <x v="266"/>
    <x v="289"/>
    <x v="10"/>
    <x v="14"/>
  </r>
  <r>
    <x v="403"/>
    <x v="69"/>
    <x v="43"/>
    <x v="2"/>
    <x v="5"/>
  </r>
  <r>
    <x v="404"/>
    <x v="18"/>
    <x v="290"/>
    <x v="3"/>
    <x v="3"/>
  </r>
  <r>
    <x v="405"/>
    <x v="267"/>
    <x v="34"/>
    <x v="9"/>
    <x v="13"/>
  </r>
  <r>
    <x v="406"/>
    <x v="268"/>
    <x v="291"/>
    <x v="5"/>
    <x v="7"/>
  </r>
  <r>
    <x v="407"/>
    <x v="7"/>
    <x v="196"/>
    <x v="10"/>
    <x v="14"/>
  </r>
  <r>
    <x v="408"/>
    <x v="89"/>
    <x v="292"/>
    <x v="1"/>
    <x v="1"/>
  </r>
  <r>
    <x v="409"/>
    <x v="222"/>
    <x v="293"/>
    <x v="1"/>
    <x v="1"/>
  </r>
  <r>
    <x v="410"/>
    <x v="163"/>
    <x v="273"/>
    <x v="16"/>
    <x v="20"/>
  </r>
  <r>
    <x v="411"/>
    <x v="269"/>
    <x v="143"/>
    <x v="2"/>
    <x v="2"/>
  </r>
  <r>
    <x v="412"/>
    <x v="29"/>
    <x v="294"/>
    <x v="2"/>
    <x v="2"/>
  </r>
  <r>
    <x v="413"/>
    <x v="270"/>
    <x v="295"/>
    <x v="2"/>
    <x v="2"/>
  </r>
  <r>
    <x v="414"/>
    <x v="271"/>
    <x v="144"/>
    <x v="15"/>
    <x v="19"/>
  </r>
  <r>
    <x v="415"/>
    <x v="45"/>
    <x v="87"/>
    <x v="2"/>
    <x v="2"/>
  </r>
  <r>
    <x v="416"/>
    <x v="29"/>
    <x v="189"/>
    <x v="3"/>
    <x v="3"/>
  </r>
  <r>
    <x v="417"/>
    <x v="26"/>
    <x v="296"/>
    <x v="2"/>
    <x v="2"/>
  </r>
  <r>
    <x v="418"/>
    <x v="26"/>
    <x v="297"/>
    <x v="3"/>
    <x v="3"/>
  </r>
  <r>
    <x v="419"/>
    <x v="272"/>
    <x v="298"/>
    <x v="1"/>
    <x v="1"/>
  </r>
  <r>
    <x v="420"/>
    <x v="247"/>
    <x v="242"/>
    <x v="18"/>
    <x v="24"/>
  </r>
  <r>
    <x v="421"/>
    <x v="106"/>
    <x v="190"/>
    <x v="3"/>
    <x v="12"/>
  </r>
  <r>
    <x v="422"/>
    <x v="8"/>
    <x v="299"/>
    <x v="3"/>
    <x v="12"/>
  </r>
  <r>
    <x v="423"/>
    <x v="57"/>
    <x v="300"/>
    <x v="3"/>
    <x v="3"/>
  </r>
  <r>
    <x v="424"/>
    <x v="132"/>
    <x v="172"/>
    <x v="12"/>
    <x v="21"/>
  </r>
  <r>
    <x v="425"/>
    <x v="74"/>
    <x v="301"/>
    <x v="8"/>
    <x v="11"/>
  </r>
  <r>
    <x v="426"/>
    <x v="74"/>
    <x v="171"/>
    <x v="7"/>
    <x v="10"/>
  </r>
  <r>
    <x v="427"/>
    <x v="273"/>
    <x v="39"/>
    <x v="14"/>
    <x v="18"/>
  </r>
  <r>
    <x v="428"/>
    <x v="156"/>
    <x v="302"/>
    <x v="2"/>
    <x v="2"/>
  </r>
  <r>
    <x v="429"/>
    <x v="274"/>
    <x v="303"/>
    <x v="5"/>
    <x v="8"/>
  </r>
  <r>
    <x v="430"/>
    <x v="275"/>
    <x v="252"/>
    <x v="2"/>
    <x v="2"/>
  </r>
  <r>
    <x v="431"/>
    <x v="68"/>
    <x v="42"/>
    <x v="3"/>
    <x v="3"/>
  </r>
  <r>
    <x v="432"/>
    <x v="276"/>
    <x v="304"/>
    <x v="3"/>
    <x v="3"/>
  </r>
  <r>
    <x v="433"/>
    <x v="40"/>
    <x v="57"/>
    <x v="5"/>
    <x v="8"/>
  </r>
  <r>
    <x v="434"/>
    <x v="73"/>
    <x v="100"/>
    <x v="3"/>
    <x v="3"/>
  </r>
  <r>
    <x v="435"/>
    <x v="277"/>
    <x v="305"/>
    <x v="17"/>
    <x v="23"/>
  </r>
  <r>
    <x v="436"/>
    <x v="44"/>
    <x v="271"/>
    <x v="3"/>
    <x v="3"/>
  </r>
  <r>
    <x v="437"/>
    <x v="278"/>
    <x v="249"/>
    <x v="15"/>
    <x v="19"/>
  </r>
  <r>
    <x v="438"/>
    <x v="59"/>
    <x v="196"/>
    <x v="10"/>
    <x v="14"/>
  </r>
  <r>
    <x v="439"/>
    <x v="143"/>
    <x v="306"/>
    <x v="2"/>
    <x v="2"/>
  </r>
  <r>
    <x v="440"/>
    <x v="279"/>
    <x v="307"/>
    <x v="5"/>
    <x v="7"/>
  </r>
  <r>
    <x v="441"/>
    <x v="280"/>
    <x v="201"/>
    <x v="7"/>
    <x v="10"/>
  </r>
  <r>
    <x v="442"/>
    <x v="264"/>
    <x v="273"/>
    <x v="16"/>
    <x v="20"/>
  </r>
  <r>
    <x v="443"/>
    <x v="281"/>
    <x v="308"/>
    <x v="11"/>
    <x v="11"/>
  </r>
  <r>
    <x v="444"/>
    <x v="12"/>
    <x v="309"/>
    <x v="12"/>
    <x v="15"/>
  </r>
  <r>
    <x v="445"/>
    <x v="197"/>
    <x v="219"/>
    <x v="17"/>
    <x v="23"/>
  </r>
  <r>
    <x v="446"/>
    <x v="282"/>
    <x v="310"/>
    <x v="7"/>
    <x v="10"/>
  </r>
  <r>
    <x v="447"/>
    <x v="283"/>
    <x v="311"/>
    <x v="2"/>
    <x v="2"/>
  </r>
  <r>
    <x v="448"/>
    <x v="106"/>
    <x v="149"/>
    <x v="12"/>
    <x v="21"/>
  </r>
  <r>
    <x v="449"/>
    <x v="284"/>
    <x v="86"/>
    <x v="3"/>
    <x v="3"/>
  </r>
  <r>
    <x v="450"/>
    <x v="36"/>
    <x v="19"/>
    <x v="6"/>
    <x v="9"/>
  </r>
  <r>
    <x v="451"/>
    <x v="285"/>
    <x v="312"/>
    <x v="2"/>
    <x v="2"/>
  </r>
  <r>
    <x v="452"/>
    <x v="286"/>
    <x v="116"/>
    <x v="9"/>
    <x v="13"/>
  </r>
  <r>
    <x v="453"/>
    <x v="287"/>
    <x v="313"/>
    <x v="6"/>
    <x v="9"/>
  </r>
  <r>
    <x v="454"/>
    <x v="121"/>
    <x v="314"/>
    <x v="3"/>
    <x v="3"/>
  </r>
  <r>
    <x v="455"/>
    <x v="288"/>
    <x v="315"/>
    <x v="3"/>
    <x v="12"/>
  </r>
  <r>
    <x v="456"/>
    <x v="289"/>
    <x v="316"/>
    <x v="8"/>
    <x v="11"/>
  </r>
  <r>
    <x v="457"/>
    <x v="290"/>
    <x v="317"/>
    <x v="7"/>
    <x v="10"/>
  </r>
  <r>
    <x v="458"/>
    <x v="70"/>
    <x v="92"/>
    <x v="10"/>
    <x v="14"/>
  </r>
  <r>
    <x v="459"/>
    <x v="16"/>
    <x v="318"/>
    <x v="13"/>
    <x v="16"/>
  </r>
  <r>
    <x v="460"/>
    <x v="40"/>
    <x v="319"/>
    <x v="2"/>
    <x v="5"/>
  </r>
  <r>
    <x v="461"/>
    <x v="136"/>
    <x v="142"/>
    <x v="3"/>
    <x v="3"/>
  </r>
  <r>
    <x v="462"/>
    <x v="44"/>
    <x v="129"/>
    <x v="2"/>
    <x v="2"/>
  </r>
  <r>
    <x v="463"/>
    <x v="291"/>
    <x v="320"/>
    <x v="3"/>
    <x v="3"/>
  </r>
  <r>
    <x v="464"/>
    <x v="121"/>
    <x v="321"/>
    <x v="17"/>
    <x v="23"/>
  </r>
  <r>
    <x v="465"/>
    <x v="292"/>
    <x v="322"/>
    <x v="2"/>
    <x v="2"/>
  </r>
  <r>
    <x v="466"/>
    <x v="293"/>
    <x v="323"/>
    <x v="8"/>
    <x v="11"/>
  </r>
  <r>
    <x v="467"/>
    <x v="222"/>
    <x v="324"/>
    <x v="3"/>
    <x v="12"/>
  </r>
  <r>
    <x v="468"/>
    <x v="42"/>
    <x v="255"/>
    <x v="3"/>
    <x v="3"/>
  </r>
  <r>
    <x v="469"/>
    <x v="166"/>
    <x v="47"/>
    <x v="3"/>
    <x v="12"/>
  </r>
  <r>
    <x v="470"/>
    <x v="294"/>
    <x v="175"/>
    <x v="17"/>
    <x v="23"/>
  </r>
  <r>
    <x v="471"/>
    <x v="295"/>
    <x v="325"/>
    <x v="11"/>
    <x v="11"/>
  </r>
  <r>
    <x v="472"/>
    <x v="296"/>
    <x v="226"/>
    <x v="12"/>
    <x v="21"/>
  </r>
  <r>
    <x v="473"/>
    <x v="230"/>
    <x v="326"/>
    <x v="4"/>
    <x v="6"/>
  </r>
  <r>
    <x v="474"/>
    <x v="145"/>
    <x v="124"/>
    <x v="13"/>
    <x v="16"/>
  </r>
  <r>
    <x v="475"/>
    <x v="116"/>
    <x v="327"/>
    <x v="2"/>
    <x v="2"/>
  </r>
  <r>
    <x v="476"/>
    <x v="28"/>
    <x v="48"/>
    <x v="15"/>
    <x v="19"/>
  </r>
  <r>
    <x v="477"/>
    <x v="297"/>
    <x v="328"/>
    <x v="2"/>
    <x v="2"/>
  </r>
  <r>
    <x v="478"/>
    <x v="78"/>
    <x v="86"/>
    <x v="12"/>
    <x v="15"/>
  </r>
  <r>
    <x v="479"/>
    <x v="166"/>
    <x v="319"/>
    <x v="2"/>
    <x v="5"/>
  </r>
  <r>
    <x v="480"/>
    <x v="59"/>
    <x v="183"/>
    <x v="5"/>
    <x v="8"/>
  </r>
  <r>
    <x v="481"/>
    <x v="298"/>
    <x v="213"/>
    <x v="16"/>
    <x v="20"/>
  </r>
  <r>
    <x v="482"/>
    <x v="193"/>
    <x v="169"/>
    <x v="6"/>
    <x v="9"/>
  </r>
  <r>
    <x v="483"/>
    <x v="299"/>
    <x v="212"/>
    <x v="15"/>
    <x v="19"/>
  </r>
  <r>
    <x v="484"/>
    <x v="300"/>
    <x v="153"/>
    <x v="18"/>
    <x v="24"/>
  </r>
  <r>
    <x v="485"/>
    <x v="301"/>
    <x v="325"/>
    <x v="11"/>
    <x v="11"/>
  </r>
  <r>
    <x v="486"/>
    <x v="302"/>
    <x v="317"/>
    <x v="7"/>
    <x v="10"/>
  </r>
  <r>
    <x v="487"/>
    <x v="132"/>
    <x v="168"/>
    <x v="13"/>
    <x v="16"/>
  </r>
  <r>
    <x v="488"/>
    <x v="230"/>
    <x v="66"/>
    <x v="2"/>
    <x v="5"/>
  </r>
  <r>
    <x v="489"/>
    <x v="5"/>
    <x v="329"/>
    <x v="15"/>
    <x v="19"/>
  </r>
  <r>
    <x v="490"/>
    <x v="303"/>
    <x v="330"/>
    <x v="13"/>
    <x v="16"/>
  </r>
  <r>
    <x v="491"/>
    <x v="57"/>
    <x v="331"/>
    <x v="4"/>
    <x v="6"/>
  </r>
  <r>
    <x v="492"/>
    <x v="136"/>
    <x v="332"/>
    <x v="12"/>
    <x v="21"/>
  </r>
  <r>
    <x v="493"/>
    <x v="304"/>
    <x v="333"/>
    <x v="1"/>
    <x v="1"/>
  </r>
  <r>
    <x v="494"/>
    <x v="305"/>
    <x v="334"/>
    <x v="14"/>
    <x v="18"/>
  </r>
  <r>
    <x v="495"/>
    <x v="156"/>
    <x v="335"/>
    <x v="17"/>
    <x v="23"/>
  </r>
  <r>
    <x v="496"/>
    <x v="43"/>
    <x v="242"/>
    <x v="18"/>
    <x v="24"/>
  </r>
  <r>
    <x v="497"/>
    <x v="121"/>
    <x v="268"/>
    <x v="2"/>
    <x v="2"/>
  </r>
  <r>
    <x v="498"/>
    <x v="306"/>
    <x v="123"/>
    <x v="7"/>
    <x v="10"/>
  </r>
  <r>
    <x v="499"/>
    <x v="125"/>
    <x v="149"/>
    <x v="12"/>
    <x v="2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A984467-02C3-4E17-8B73-2D5E065DDEC7}" name="PivotTable16"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87:B107" firstHeaderRow="1" firstDataRow="1" firstDataCol="1"/>
  <pivotFields count="7">
    <pivotField showAll="0">
      <items count="501">
        <item x="61"/>
        <item x="9"/>
        <item x="51"/>
        <item x="324"/>
        <item x="414"/>
        <item x="398"/>
        <item x="442"/>
        <item x="48"/>
        <item x="192"/>
        <item x="80"/>
        <item x="319"/>
        <item x="269"/>
        <item x="34"/>
        <item x="189"/>
        <item x="420"/>
        <item x="372"/>
        <item x="253"/>
        <item x="227"/>
        <item x="230"/>
        <item x="295"/>
        <item x="239"/>
        <item x="177"/>
        <item x="321"/>
        <item x="474"/>
        <item x="155"/>
        <item x="78"/>
        <item x="434"/>
        <item x="450"/>
        <item x="37"/>
        <item x="342"/>
        <item x="397"/>
        <item x="486"/>
        <item x="137"/>
        <item x="218"/>
        <item x="222"/>
        <item x="152"/>
        <item x="371"/>
        <item x="104"/>
        <item x="29"/>
        <item x="248"/>
        <item x="476"/>
        <item x="207"/>
        <item x="84"/>
        <item x="411"/>
        <item x="267"/>
        <item x="482"/>
        <item x="452"/>
        <item x="353"/>
        <item x="471"/>
        <item x="96"/>
        <item x="114"/>
        <item x="289"/>
        <item x="53"/>
        <item x="203"/>
        <item x="216"/>
        <item x="47"/>
        <item x="88"/>
        <item x="472"/>
        <item x="335"/>
        <item x="275"/>
        <item x="281"/>
        <item x="221"/>
        <item x="258"/>
        <item x="117"/>
        <item x="317"/>
        <item x="94"/>
        <item x="87"/>
        <item x="361"/>
        <item x="161"/>
        <item x="147"/>
        <item x="112"/>
        <item x="473"/>
        <item x="343"/>
        <item x="488"/>
        <item x="95"/>
        <item x="65"/>
        <item x="483"/>
        <item x="241"/>
        <item x="412"/>
        <item x="416"/>
        <item x="30"/>
        <item x="173"/>
        <item x="208"/>
        <item x="350"/>
        <item x="179"/>
        <item x="22"/>
        <item x="220"/>
        <item x="231"/>
        <item x="195"/>
        <item x="463"/>
        <item x="136"/>
        <item x="344"/>
        <item x="157"/>
        <item x="316"/>
        <item x="309"/>
        <item x="103"/>
        <item x="59"/>
        <item x="182"/>
        <item x="389"/>
        <item x="355"/>
        <item x="391"/>
        <item x="92"/>
        <item x="280"/>
        <item x="357"/>
        <item x="449"/>
        <item x="464"/>
        <item x="497"/>
        <item x="138"/>
        <item x="454"/>
        <item x="160"/>
        <item x="384"/>
        <item x="296"/>
        <item x="322"/>
        <item x="234"/>
        <item x="213"/>
        <item x="427"/>
        <item x="43"/>
        <item x="199"/>
        <item x="468"/>
        <item x="466"/>
        <item x="299"/>
        <item x="446"/>
        <item x="413"/>
        <item x="314"/>
        <item x="341"/>
        <item x="190"/>
        <item x="242"/>
        <item x="85"/>
        <item x="38"/>
        <item x="72"/>
        <item x="352"/>
        <item x="490"/>
        <item x="451"/>
        <item x="378"/>
        <item x="390"/>
        <item x="465"/>
        <item x="302"/>
        <item x="82"/>
        <item x="351"/>
        <item x="428"/>
        <item x="193"/>
        <item x="495"/>
        <item x="185"/>
        <item x="226"/>
        <item x="145"/>
        <item x="399"/>
        <item x="105"/>
        <item x="282"/>
        <item x="86"/>
        <item x="175"/>
        <item x="178"/>
        <item x="49"/>
        <item x="89"/>
        <item x="246"/>
        <item x="25"/>
        <item x="134"/>
        <item x="4"/>
        <item x="498"/>
        <item x="484"/>
        <item x="244"/>
        <item x="15"/>
        <item x="55"/>
        <item x="429"/>
        <item x="122"/>
        <item x="346"/>
        <item x="283"/>
        <item x="255"/>
        <item x="36"/>
        <item x="229"/>
        <item x="225"/>
        <item x="334"/>
        <item x="70"/>
        <item x="273"/>
        <item x="456"/>
        <item x="443"/>
        <item x="447"/>
        <item x="81"/>
        <item x="42"/>
        <item x="50"/>
        <item x="349"/>
        <item x="121"/>
        <item x="238"/>
        <item x="461"/>
        <item x="492"/>
        <item x="163"/>
        <item x="21"/>
        <item x="172"/>
        <item x="494"/>
        <item x="249"/>
        <item x="453"/>
        <item x="167"/>
        <item x="415"/>
        <item x="46"/>
        <item x="307"/>
        <item x="265"/>
        <item x="158"/>
        <item x="28"/>
        <item x="8"/>
        <item x="291"/>
        <item x="362"/>
        <item x="422"/>
        <item x="156"/>
        <item x="123"/>
        <item x="245"/>
        <item x="374"/>
        <item x="159"/>
        <item x="377"/>
        <item x="286"/>
        <item x="328"/>
        <item x="75"/>
        <item x="358"/>
        <item x="270"/>
        <item x="100"/>
        <item x="198"/>
        <item x="458"/>
        <item x="217"/>
        <item x="127"/>
        <item x="394"/>
        <item x="212"/>
        <item x="368"/>
        <item x="359"/>
        <item x="459"/>
        <item x="17"/>
        <item x="383"/>
        <item x="101"/>
        <item x="153"/>
        <item x="325"/>
        <item x="176"/>
        <item x="232"/>
        <item x="20"/>
        <item x="139"/>
        <item x="184"/>
        <item x="423"/>
        <item x="491"/>
        <item x="326"/>
        <item x="60"/>
        <item x="268"/>
        <item x="91"/>
        <item x="66"/>
        <item x="257"/>
        <item x="477"/>
        <item x="40"/>
        <item x="271"/>
        <item x="401"/>
        <item x="126"/>
        <item x="395"/>
        <item x="151"/>
        <item x="148"/>
        <item x="236"/>
        <item x="98"/>
        <item x="237"/>
        <item x="107"/>
        <item x="18"/>
        <item x="206"/>
        <item x="54"/>
        <item x="140"/>
        <item x="162"/>
        <item x="10"/>
        <item x="135"/>
        <item x="375"/>
        <item x="284"/>
        <item x="19"/>
        <item x="300"/>
        <item x="385"/>
        <item x="404"/>
        <item x="441"/>
        <item x="279"/>
        <item x="76"/>
        <item x="402"/>
        <item x="110"/>
        <item x="370"/>
        <item x="430"/>
        <item x="62"/>
        <item x="360"/>
        <item x="274"/>
        <item x="263"/>
        <item x="73"/>
        <item x="130"/>
        <item x="431"/>
        <item x="379"/>
        <item x="14"/>
        <item x="366"/>
        <item x="337"/>
        <item x="475"/>
        <item x="132"/>
        <item x="186"/>
        <item x="16"/>
        <item x="149"/>
        <item x="369"/>
        <item x="197"/>
        <item x="367"/>
        <item x="347"/>
        <item x="141"/>
        <item x="67"/>
        <item x="219"/>
        <item x="261"/>
        <item x="133"/>
        <item x="99"/>
        <item x="109"/>
        <item x="287"/>
        <item x="320"/>
        <item x="26"/>
        <item x="201"/>
        <item x="106"/>
        <item x="329"/>
        <item x="409"/>
        <item x="467"/>
        <item x="305"/>
        <item x="31"/>
        <item x="32"/>
        <item x="455"/>
        <item x="382"/>
        <item x="381"/>
        <item x="200"/>
        <item x="264"/>
        <item x="406"/>
        <item x="386"/>
        <item x="276"/>
        <item x="35"/>
        <item x="388"/>
        <item x="312"/>
        <item x="440"/>
        <item x="3"/>
        <item x="336"/>
        <item x="68"/>
        <item x="432"/>
        <item x="292"/>
        <item x="363"/>
        <item x="57"/>
        <item x="164"/>
        <item x="417"/>
        <item x="418"/>
        <item x="214"/>
        <item x="380"/>
        <item x="27"/>
        <item x="425"/>
        <item x="79"/>
        <item x="426"/>
        <item x="196"/>
        <item x="435"/>
        <item x="306"/>
        <item x="150"/>
        <item x="39"/>
        <item x="313"/>
        <item x="124"/>
        <item x="338"/>
        <item x="260"/>
        <item x="330"/>
        <item x="332"/>
        <item x="33"/>
        <item x="128"/>
        <item x="93"/>
        <item x="69"/>
        <item x="102"/>
        <item x="6"/>
        <item x="194"/>
        <item x="71"/>
        <item x="228"/>
        <item x="142"/>
        <item x="310"/>
        <item x="205"/>
        <item x="174"/>
        <item x="439"/>
        <item x="64"/>
        <item x="489"/>
        <item x="183"/>
        <item x="5"/>
        <item x="115"/>
        <item x="11"/>
        <item x="129"/>
        <item x="277"/>
        <item x="373"/>
        <item x="2"/>
        <item x="146"/>
        <item x="187"/>
        <item x="297"/>
        <item x="304"/>
        <item x="83"/>
        <item x="169"/>
        <item x="478"/>
        <item x="108"/>
        <item x="493"/>
        <item x="168"/>
        <item x="254"/>
        <item x="293"/>
        <item x="97"/>
        <item x="256"/>
        <item x="408"/>
        <item x="235"/>
        <item x="419"/>
        <item x="301"/>
        <item x="345"/>
        <item x="1"/>
        <item x="294"/>
        <item x="56"/>
        <item x="240"/>
        <item x="13"/>
        <item x="444"/>
        <item x="120"/>
        <item x="143"/>
        <item x="333"/>
        <item x="266"/>
        <item x="24"/>
        <item x="318"/>
        <item x="400"/>
        <item x="58"/>
        <item x="251"/>
        <item x="290"/>
        <item x="262"/>
        <item x="180"/>
        <item x="396"/>
        <item x="479"/>
        <item x="469"/>
        <item x="215"/>
        <item x="356"/>
        <item x="209"/>
        <item x="410"/>
        <item x="243"/>
        <item x="116"/>
        <item x="247"/>
        <item x="364"/>
        <item x="23"/>
        <item x="77"/>
        <item x="315"/>
        <item x="327"/>
        <item x="272"/>
        <item x="438"/>
        <item x="63"/>
        <item x="480"/>
        <item x="259"/>
        <item x="421"/>
        <item x="448"/>
        <item x="118"/>
        <item x="210"/>
        <item x="181"/>
        <item x="233"/>
        <item x="311"/>
        <item x="354"/>
        <item x="405"/>
        <item x="111"/>
        <item x="308"/>
        <item x="457"/>
        <item x="303"/>
        <item x="470"/>
        <item x="224"/>
        <item x="462"/>
        <item x="436"/>
        <item x="45"/>
        <item x="387"/>
        <item x="191"/>
        <item x="52"/>
        <item x="119"/>
        <item x="165"/>
        <item x="170"/>
        <item x="0"/>
        <item x="211"/>
        <item x="131"/>
        <item x="285"/>
        <item x="485"/>
        <item x="223"/>
        <item x="90"/>
        <item x="445"/>
        <item x="278"/>
        <item x="365"/>
        <item x="339"/>
        <item x="403"/>
        <item x="74"/>
        <item x="298"/>
        <item x="437"/>
        <item x="166"/>
        <item x="481"/>
        <item x="250"/>
        <item x="41"/>
        <item x="433"/>
        <item x="460"/>
        <item x="204"/>
        <item x="424"/>
        <item x="171"/>
        <item x="487"/>
        <item x="376"/>
        <item x="154"/>
        <item x="393"/>
        <item x="340"/>
        <item x="288"/>
        <item x="44"/>
        <item x="125"/>
        <item x="252"/>
        <item x="496"/>
        <item x="348"/>
        <item x="407"/>
        <item x="323"/>
        <item x="392"/>
        <item x="7"/>
        <item x="331"/>
        <item x="499"/>
        <item x="202"/>
        <item x="144"/>
        <item x="188"/>
        <item x="12"/>
        <item x="113"/>
        <item t="default"/>
      </items>
    </pivotField>
    <pivotField numFmtId="14" showAll="0">
      <items count="308">
        <item x="242"/>
        <item x="54"/>
        <item x="137"/>
        <item x="26"/>
        <item x="74"/>
        <item x="277"/>
        <item x="212"/>
        <item x="130"/>
        <item x="38"/>
        <item x="215"/>
        <item x="112"/>
        <item x="227"/>
        <item x="32"/>
        <item x="65"/>
        <item x="6"/>
        <item x="157"/>
        <item x="67"/>
        <item x="143"/>
        <item x="60"/>
        <item x="5"/>
        <item x="115"/>
        <item x="248"/>
        <item x="2"/>
        <item x="127"/>
        <item x="78"/>
        <item x="97"/>
        <item x="304"/>
        <item x="140"/>
        <item x="89"/>
        <item x="175"/>
        <item x="272"/>
        <item x="1"/>
        <item x="12"/>
        <item x="108"/>
        <item x="124"/>
        <item x="223"/>
        <item x="23"/>
        <item x="55"/>
        <item x="191"/>
        <item x="147"/>
        <item x="263"/>
        <item x="166"/>
        <item x="163"/>
        <item x="104"/>
        <item x="182"/>
        <item x="243"/>
        <item x="22"/>
        <item x="72"/>
        <item x="59"/>
        <item x="189"/>
        <item x="106"/>
        <item x="148"/>
        <item x="237"/>
        <item x="267"/>
        <item x="100"/>
        <item x="213"/>
        <item x="290"/>
        <item x="210"/>
        <item x="294"/>
        <item x="170"/>
        <item x="44"/>
        <item x="256"/>
        <item x="155"/>
        <item x="51"/>
        <item x="107"/>
        <item x="138"/>
        <item x="0"/>
        <item x="202"/>
        <item x="301"/>
        <item x="169"/>
        <item x="84"/>
        <item x="197"/>
        <item x="69"/>
        <item x="278"/>
        <item x="139"/>
        <item x="298"/>
        <item x="184"/>
        <item x="40"/>
        <item x="132"/>
        <item x="261"/>
        <item x="228"/>
        <item x="205"/>
        <item x="43"/>
        <item x="7"/>
        <item x="125"/>
        <item x="152"/>
        <item x="11"/>
        <item x="102"/>
        <item x="9"/>
        <item x="50"/>
        <item x="271"/>
        <item x="264"/>
        <item x="47"/>
        <item x="75"/>
        <item x="218"/>
        <item x="33"/>
        <item x="153"/>
        <item x="247"/>
        <item x="185"/>
        <item x="172"/>
        <item x="178"/>
        <item x="145"/>
        <item x="73"/>
        <item x="36"/>
        <item x="302"/>
        <item x="94"/>
        <item x="28"/>
        <item x="161"/>
        <item x="79"/>
        <item x="269"/>
        <item x="193"/>
        <item x="286"/>
        <item x="236"/>
        <item x="295"/>
        <item x="88"/>
        <item x="103"/>
        <item x="52"/>
        <item x="160"/>
        <item x="46"/>
        <item x="82"/>
        <item x="296"/>
        <item x="224"/>
        <item x="195"/>
        <item x="168"/>
        <item x="188"/>
        <item x="105"/>
        <item x="217"/>
        <item x="86"/>
        <item x="81"/>
        <item x="241"/>
        <item x="128"/>
        <item x="101"/>
        <item x="230"/>
        <item x="87"/>
        <item x="61"/>
        <item x="299"/>
        <item x="179"/>
        <item x="29"/>
        <item x="142"/>
        <item x="162"/>
        <item x="234"/>
        <item x="146"/>
        <item x="21"/>
        <item x="158"/>
        <item x="291"/>
        <item x="120"/>
        <item x="231"/>
        <item x="133"/>
        <item x="93"/>
        <item x="56"/>
        <item x="149"/>
        <item x="258"/>
        <item x="238"/>
        <item x="260"/>
        <item x="85"/>
        <item x="199"/>
        <item x="239"/>
        <item x="284"/>
        <item x="121"/>
        <item x="135"/>
        <item x="254"/>
        <item x="207"/>
        <item x="219"/>
        <item x="174"/>
        <item x="165"/>
        <item x="273"/>
        <item x="42"/>
        <item x="293"/>
        <item x="208"/>
        <item x="282"/>
        <item x="270"/>
        <item x="216"/>
        <item x="229"/>
        <item x="154"/>
        <item x="37"/>
        <item x="235"/>
        <item x="303"/>
        <item x="285"/>
        <item x="250"/>
        <item x="259"/>
        <item x="292"/>
        <item x="209"/>
        <item x="77"/>
        <item x="156"/>
        <item x="151"/>
        <item x="171"/>
        <item x="126"/>
        <item x="265"/>
        <item x="95"/>
        <item x="200"/>
        <item x="80"/>
        <item x="48"/>
        <item x="83"/>
        <item x="181"/>
        <item x="24"/>
        <item x="118"/>
        <item x="4"/>
        <item x="306"/>
        <item x="300"/>
        <item x="180"/>
        <item x="14"/>
        <item x="53"/>
        <item x="274"/>
        <item x="110"/>
        <item x="232"/>
        <item x="201"/>
        <item x="186"/>
        <item x="35"/>
        <item x="66"/>
        <item x="194"/>
        <item x="289"/>
        <item x="281"/>
        <item x="283"/>
        <item x="76"/>
        <item x="41"/>
        <item x="49"/>
        <item x="233"/>
        <item x="109"/>
        <item x="136"/>
        <item x="20"/>
        <item x="141"/>
        <item x="305"/>
        <item x="183"/>
        <item x="287"/>
        <item x="45"/>
        <item x="27"/>
        <item x="8"/>
        <item x="111"/>
        <item x="134"/>
        <item x="249"/>
        <item x="203"/>
        <item x="221"/>
        <item x="70"/>
        <item x="167"/>
        <item x="114"/>
        <item x="262"/>
        <item x="164"/>
        <item x="240"/>
        <item x="16"/>
        <item x="253"/>
        <item x="92"/>
        <item x="131"/>
        <item x="220"/>
        <item x="144"/>
        <item x="173"/>
        <item x="19"/>
        <item x="122"/>
        <item x="150"/>
        <item x="57"/>
        <item x="62"/>
        <item x="187"/>
        <item x="297"/>
        <item x="39"/>
        <item x="113"/>
        <item x="176"/>
        <item x="90"/>
        <item x="177"/>
        <item x="96"/>
        <item x="17"/>
        <item x="123"/>
        <item x="10"/>
        <item x="119"/>
        <item x="18"/>
        <item x="280"/>
        <item x="198"/>
        <item x="71"/>
        <item x="266"/>
        <item x="99"/>
        <item x="246"/>
        <item x="275"/>
        <item x="58"/>
        <item x="68"/>
        <item x="13"/>
        <item x="244"/>
        <item x="226"/>
        <item x="116"/>
        <item x="15"/>
        <item x="129"/>
        <item x="245"/>
        <item x="63"/>
        <item x="190"/>
        <item x="117"/>
        <item x="91"/>
        <item x="98"/>
        <item x="204"/>
        <item x="25"/>
        <item x="222"/>
        <item x="211"/>
        <item x="30"/>
        <item x="31"/>
        <item x="288"/>
        <item x="252"/>
        <item x="251"/>
        <item x="159"/>
        <item x="192"/>
        <item x="268"/>
        <item x="255"/>
        <item x="196"/>
        <item x="34"/>
        <item x="257"/>
        <item x="214"/>
        <item x="279"/>
        <item x="3"/>
        <item x="225"/>
        <item x="64"/>
        <item x="276"/>
        <item x="206"/>
        <item t="default"/>
      </items>
    </pivotField>
    <pivotField dataField="1" showAll="0">
      <items count="337">
        <item x="314"/>
        <item x="44"/>
        <item x="18"/>
        <item x="215"/>
        <item x="189"/>
        <item x="50"/>
        <item x="293"/>
        <item x="87"/>
        <item x="224"/>
        <item x="74"/>
        <item x="216"/>
        <item x="96"/>
        <item x="105"/>
        <item x="119"/>
        <item x="326"/>
        <item x="260"/>
        <item x="322"/>
        <item x="307"/>
        <item x="195"/>
        <item x="155"/>
        <item x="78"/>
        <item x="152"/>
        <item x="120"/>
        <item x="165"/>
        <item x="17"/>
        <item x="95"/>
        <item x="138"/>
        <item x="331"/>
        <item x="227"/>
        <item x="128"/>
        <item x="253"/>
        <item x="218"/>
        <item x="79"/>
        <item x="73"/>
        <item x="266"/>
        <item x="127"/>
        <item x="309"/>
        <item x="330"/>
        <item x="51"/>
        <item x="81"/>
        <item x="182"/>
        <item x="275"/>
        <item x="185"/>
        <item x="217"/>
        <item x="283"/>
        <item x="280"/>
        <item x="54"/>
        <item x="254"/>
        <item x="56"/>
        <item x="290"/>
        <item x="299"/>
        <item x="197"/>
        <item x="271"/>
        <item x="328"/>
        <item x="335"/>
        <item x="145"/>
        <item x="104"/>
        <item x="141"/>
        <item x="140"/>
        <item x="294"/>
        <item x="75"/>
        <item x="192"/>
        <item x="161"/>
        <item x="57"/>
        <item x="244"/>
        <item x="242"/>
        <item x="27"/>
        <item x="12"/>
        <item x="202"/>
        <item x="297"/>
        <item x="156"/>
        <item x="61"/>
        <item x="126"/>
        <item x="237"/>
        <item x="200"/>
        <item x="118"/>
        <item x="85"/>
        <item x="259"/>
        <item x="68"/>
        <item x="190"/>
        <item x="181"/>
        <item x="135"/>
        <item x="269"/>
        <item x="312"/>
        <item x="334"/>
        <item x="304"/>
        <item x="172"/>
        <item x="221"/>
        <item x="163"/>
        <item x="210"/>
        <item x="58"/>
        <item x="106"/>
        <item x="308"/>
        <item x="212"/>
        <item x="49"/>
        <item x="16"/>
        <item x="277"/>
        <item x="222"/>
        <item x="53"/>
        <item x="3"/>
        <item x="270"/>
        <item x="320"/>
        <item x="0"/>
        <item x="92"/>
        <item x="154"/>
        <item x="168"/>
        <item x="333"/>
        <item x="34"/>
        <item x="21"/>
        <item x="100"/>
        <item x="88"/>
        <item x="310"/>
        <item x="264"/>
        <item x="23"/>
        <item x="47"/>
        <item x="231"/>
        <item x="29"/>
        <item x="281"/>
        <item x="324"/>
        <item x="113"/>
        <item x="272"/>
        <item x="102"/>
        <item x="187"/>
        <item x="164"/>
        <item x="220"/>
        <item x="209"/>
        <item x="211"/>
        <item x="89"/>
        <item x="151"/>
        <item x="144"/>
        <item x="158"/>
        <item x="77"/>
        <item x="121"/>
        <item x="201"/>
        <item x="300"/>
        <item x="282"/>
        <item x="64"/>
        <item x="207"/>
        <item x="188"/>
        <item x="14"/>
        <item x="26"/>
        <item x="2"/>
        <item x="1"/>
        <item x="35"/>
        <item x="66"/>
        <item x="284"/>
        <item x="174"/>
        <item x="228"/>
        <item x="317"/>
        <item x="125"/>
        <item x="198"/>
        <item x="59"/>
        <item x="40"/>
        <item x="229"/>
        <item x="267"/>
        <item x="143"/>
        <item x="136"/>
        <item x="256"/>
        <item x="110"/>
        <item x="99"/>
        <item x="31"/>
        <item x="139"/>
        <item x="149"/>
        <item x="63"/>
        <item x="241"/>
        <item x="311"/>
        <item x="115"/>
        <item x="208"/>
        <item x="298"/>
        <item x="72"/>
        <item x="245"/>
        <item x="122"/>
        <item x="323"/>
        <item x="238"/>
        <item x="160"/>
        <item x="32"/>
        <item x="173"/>
        <item x="179"/>
        <item x="301"/>
        <item x="148"/>
        <item x="292"/>
        <item x="150"/>
        <item x="129"/>
        <item x="214"/>
        <item x="91"/>
        <item x="303"/>
        <item x="70"/>
        <item x="223"/>
        <item x="60"/>
        <item x="206"/>
        <item x="289"/>
        <item x="159"/>
        <item x="76"/>
        <item x="48"/>
        <item x="133"/>
        <item x="287"/>
        <item x="101"/>
        <item x="41"/>
        <item x="247"/>
        <item x="319"/>
        <item x="315"/>
        <item x="131"/>
        <item x="137"/>
        <item x="225"/>
        <item x="19"/>
        <item x="38"/>
        <item x="230"/>
        <item x="250"/>
        <item x="97"/>
        <item x="112"/>
        <item x="62"/>
        <item x="191"/>
        <item x="306"/>
        <item x="103"/>
        <item x="278"/>
        <item x="43"/>
        <item x="147"/>
        <item x="325"/>
        <item x="276"/>
        <item x="240"/>
        <item x="183"/>
        <item x="302"/>
        <item x="255"/>
        <item x="114"/>
        <item x="67"/>
        <item x="232"/>
        <item x="262"/>
        <item x="15"/>
        <item x="332"/>
        <item x="107"/>
        <item x="166"/>
        <item x="196"/>
        <item x="98"/>
        <item x="313"/>
        <item x="180"/>
        <item x="329"/>
        <item x="258"/>
        <item x="285"/>
        <item x="234"/>
        <item x="65"/>
        <item x="175"/>
        <item x="177"/>
        <item x="108"/>
        <item x="249"/>
        <item x="251"/>
        <item x="7"/>
        <item x="176"/>
        <item x="25"/>
        <item x="252"/>
        <item x="46"/>
        <item x="82"/>
        <item x="246"/>
        <item x="116"/>
        <item x="36"/>
        <item x="117"/>
        <item x="37"/>
        <item x="226"/>
        <item x="171"/>
        <item x="8"/>
        <item x="6"/>
        <item x="80"/>
        <item x="142"/>
        <item x="268"/>
        <item x="109"/>
        <item x="22"/>
        <item x="84"/>
        <item x="33"/>
        <item x="11"/>
        <item x="20"/>
        <item x="30"/>
        <item x="123"/>
        <item x="261"/>
        <item x="86"/>
        <item x="279"/>
        <item x="42"/>
        <item x="296"/>
        <item x="265"/>
        <item x="199"/>
        <item x="316"/>
        <item x="111"/>
        <item x="273"/>
        <item x="169"/>
        <item x="286"/>
        <item x="153"/>
        <item x="94"/>
        <item x="170"/>
        <item x="186"/>
        <item x="213"/>
        <item x="236"/>
        <item x="5"/>
        <item x="194"/>
        <item x="24"/>
        <item x="233"/>
        <item x="28"/>
        <item x="204"/>
        <item x="134"/>
        <item x="203"/>
        <item x="243"/>
        <item x="327"/>
        <item x="39"/>
        <item x="239"/>
        <item x="167"/>
        <item x="93"/>
        <item x="288"/>
        <item x="178"/>
        <item x="184"/>
        <item x="321"/>
        <item x="235"/>
        <item x="130"/>
        <item x="83"/>
        <item x="257"/>
        <item x="318"/>
        <item x="146"/>
        <item x="90"/>
        <item x="69"/>
        <item x="193"/>
        <item x="219"/>
        <item x="291"/>
        <item x="263"/>
        <item x="10"/>
        <item x="45"/>
        <item x="248"/>
        <item x="157"/>
        <item x="55"/>
        <item x="71"/>
        <item x="162"/>
        <item x="124"/>
        <item x="274"/>
        <item x="4"/>
        <item x="305"/>
        <item x="9"/>
        <item x="295"/>
        <item x="205"/>
        <item x="132"/>
        <item x="13"/>
        <item x="52"/>
        <item t="default"/>
      </items>
    </pivotField>
    <pivotField axis="axisRow" showAll="0">
      <items count="20">
        <item x="4"/>
        <item x="6"/>
        <item x="1"/>
        <item x="17"/>
        <item x="5"/>
        <item x="11"/>
        <item x="7"/>
        <item x="16"/>
        <item x="13"/>
        <item x="9"/>
        <item x="3"/>
        <item x="2"/>
        <item x="10"/>
        <item x="8"/>
        <item x="12"/>
        <item x="18"/>
        <item x="14"/>
        <item x="0"/>
        <item x="15"/>
        <item t="default"/>
      </items>
    </pivotField>
    <pivotField showAll="0">
      <items count="26">
        <item x="8"/>
        <item x="22"/>
        <item x="16"/>
        <item x="12"/>
        <item x="11"/>
        <item x="18"/>
        <item x="1"/>
        <item x="24"/>
        <item x="23"/>
        <item x="6"/>
        <item x="3"/>
        <item x="21"/>
        <item x="20"/>
        <item x="14"/>
        <item x="19"/>
        <item x="17"/>
        <item x="0"/>
        <item x="2"/>
        <item x="9"/>
        <item x="4"/>
        <item x="5"/>
        <item x="10"/>
        <item x="7"/>
        <item x="13"/>
        <item x="15"/>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20">
    <i>
      <x/>
    </i>
    <i>
      <x v="1"/>
    </i>
    <i>
      <x v="2"/>
    </i>
    <i>
      <x v="3"/>
    </i>
    <i>
      <x v="4"/>
    </i>
    <i>
      <x v="5"/>
    </i>
    <i>
      <x v="6"/>
    </i>
    <i>
      <x v="7"/>
    </i>
    <i>
      <x v="8"/>
    </i>
    <i>
      <x v="9"/>
    </i>
    <i>
      <x v="10"/>
    </i>
    <i>
      <x v="11"/>
    </i>
    <i>
      <x v="12"/>
    </i>
    <i>
      <x v="13"/>
    </i>
    <i>
      <x v="14"/>
    </i>
    <i>
      <x v="15"/>
    </i>
    <i>
      <x v="16"/>
    </i>
    <i>
      <x v="17"/>
    </i>
    <i>
      <x v="18"/>
    </i>
    <i t="grand">
      <x/>
    </i>
  </rowItems>
  <colItems count="1">
    <i/>
  </colItems>
  <dataFields count="1">
    <dataField name="Count of CustomerName"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CACB69E-CF19-4E44-8356-EF2666D6A018}" name="PivotTable21"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0">
  <location ref="A3:B29" firstHeaderRow="1" firstDataRow="1" firstDataCol="1"/>
  <pivotFields count="7">
    <pivotField dataField="1" showAll="0">
      <items count="501">
        <item x="61"/>
        <item x="9"/>
        <item x="51"/>
        <item x="324"/>
        <item x="414"/>
        <item x="398"/>
        <item x="442"/>
        <item x="48"/>
        <item x="192"/>
        <item x="80"/>
        <item x="319"/>
        <item x="269"/>
        <item x="34"/>
        <item x="189"/>
        <item x="420"/>
        <item x="372"/>
        <item x="253"/>
        <item x="227"/>
        <item x="230"/>
        <item x="295"/>
        <item x="239"/>
        <item x="177"/>
        <item x="321"/>
        <item x="474"/>
        <item x="155"/>
        <item x="78"/>
        <item x="434"/>
        <item x="450"/>
        <item x="37"/>
        <item x="342"/>
        <item x="397"/>
        <item x="486"/>
        <item x="137"/>
        <item x="218"/>
        <item x="222"/>
        <item x="152"/>
        <item x="371"/>
        <item x="104"/>
        <item x="29"/>
        <item x="248"/>
        <item x="476"/>
        <item x="207"/>
        <item x="84"/>
        <item x="411"/>
        <item x="267"/>
        <item x="482"/>
        <item x="452"/>
        <item x="353"/>
        <item x="471"/>
        <item x="96"/>
        <item x="114"/>
        <item x="289"/>
        <item x="53"/>
        <item x="203"/>
        <item x="216"/>
        <item x="47"/>
        <item x="88"/>
        <item x="472"/>
        <item x="335"/>
        <item x="275"/>
        <item x="281"/>
        <item x="221"/>
        <item x="258"/>
        <item x="117"/>
        <item x="317"/>
        <item x="94"/>
        <item x="87"/>
        <item x="361"/>
        <item x="161"/>
        <item x="147"/>
        <item x="112"/>
        <item x="473"/>
        <item x="343"/>
        <item x="488"/>
        <item x="95"/>
        <item x="65"/>
        <item x="483"/>
        <item x="241"/>
        <item x="412"/>
        <item x="416"/>
        <item x="30"/>
        <item x="173"/>
        <item x="208"/>
        <item x="350"/>
        <item x="179"/>
        <item x="22"/>
        <item x="220"/>
        <item x="231"/>
        <item x="195"/>
        <item x="463"/>
        <item x="136"/>
        <item x="344"/>
        <item x="157"/>
        <item x="316"/>
        <item x="309"/>
        <item x="103"/>
        <item x="59"/>
        <item x="182"/>
        <item x="389"/>
        <item x="355"/>
        <item x="391"/>
        <item x="92"/>
        <item x="280"/>
        <item x="357"/>
        <item x="449"/>
        <item x="464"/>
        <item x="497"/>
        <item x="138"/>
        <item x="454"/>
        <item x="160"/>
        <item x="384"/>
        <item x="296"/>
        <item x="322"/>
        <item x="234"/>
        <item x="213"/>
        <item x="427"/>
        <item x="43"/>
        <item x="199"/>
        <item x="468"/>
        <item x="466"/>
        <item x="299"/>
        <item x="446"/>
        <item x="413"/>
        <item x="314"/>
        <item x="341"/>
        <item x="190"/>
        <item x="242"/>
        <item x="85"/>
        <item x="38"/>
        <item x="72"/>
        <item x="352"/>
        <item x="490"/>
        <item x="451"/>
        <item x="378"/>
        <item x="390"/>
        <item x="465"/>
        <item x="302"/>
        <item x="82"/>
        <item x="351"/>
        <item x="428"/>
        <item x="193"/>
        <item x="495"/>
        <item x="185"/>
        <item x="226"/>
        <item x="145"/>
        <item x="399"/>
        <item x="105"/>
        <item x="282"/>
        <item x="86"/>
        <item x="175"/>
        <item x="178"/>
        <item x="49"/>
        <item x="89"/>
        <item x="246"/>
        <item x="25"/>
        <item x="134"/>
        <item x="4"/>
        <item x="498"/>
        <item x="484"/>
        <item x="244"/>
        <item x="15"/>
        <item x="55"/>
        <item x="429"/>
        <item x="122"/>
        <item x="346"/>
        <item x="283"/>
        <item x="255"/>
        <item x="36"/>
        <item x="229"/>
        <item x="225"/>
        <item x="334"/>
        <item x="70"/>
        <item x="273"/>
        <item x="456"/>
        <item x="443"/>
        <item x="447"/>
        <item x="81"/>
        <item x="42"/>
        <item x="50"/>
        <item x="349"/>
        <item x="121"/>
        <item x="238"/>
        <item x="461"/>
        <item x="492"/>
        <item x="163"/>
        <item x="21"/>
        <item x="172"/>
        <item x="494"/>
        <item x="249"/>
        <item x="453"/>
        <item x="167"/>
        <item x="415"/>
        <item x="46"/>
        <item x="307"/>
        <item x="265"/>
        <item x="158"/>
        <item x="28"/>
        <item x="8"/>
        <item x="291"/>
        <item x="362"/>
        <item x="422"/>
        <item x="156"/>
        <item x="123"/>
        <item x="245"/>
        <item x="374"/>
        <item x="159"/>
        <item x="377"/>
        <item x="286"/>
        <item x="328"/>
        <item x="75"/>
        <item x="358"/>
        <item x="270"/>
        <item x="100"/>
        <item x="198"/>
        <item x="458"/>
        <item x="217"/>
        <item x="127"/>
        <item x="394"/>
        <item x="212"/>
        <item x="368"/>
        <item x="359"/>
        <item x="459"/>
        <item x="17"/>
        <item x="383"/>
        <item x="101"/>
        <item x="153"/>
        <item x="325"/>
        <item x="176"/>
        <item x="232"/>
        <item x="20"/>
        <item x="139"/>
        <item x="184"/>
        <item x="423"/>
        <item x="491"/>
        <item x="326"/>
        <item x="60"/>
        <item x="268"/>
        <item x="91"/>
        <item x="66"/>
        <item x="257"/>
        <item x="477"/>
        <item x="40"/>
        <item x="271"/>
        <item x="401"/>
        <item x="126"/>
        <item x="395"/>
        <item x="151"/>
        <item x="148"/>
        <item x="236"/>
        <item x="98"/>
        <item x="237"/>
        <item x="107"/>
        <item x="18"/>
        <item x="206"/>
        <item x="54"/>
        <item x="140"/>
        <item x="162"/>
        <item x="10"/>
        <item x="135"/>
        <item x="375"/>
        <item x="284"/>
        <item x="19"/>
        <item x="300"/>
        <item x="385"/>
        <item x="404"/>
        <item x="441"/>
        <item x="279"/>
        <item x="76"/>
        <item x="402"/>
        <item x="110"/>
        <item x="370"/>
        <item x="430"/>
        <item x="62"/>
        <item x="360"/>
        <item x="274"/>
        <item x="263"/>
        <item x="73"/>
        <item x="130"/>
        <item x="431"/>
        <item x="379"/>
        <item x="14"/>
        <item x="366"/>
        <item x="337"/>
        <item x="475"/>
        <item x="132"/>
        <item x="186"/>
        <item x="16"/>
        <item x="149"/>
        <item x="369"/>
        <item x="197"/>
        <item x="367"/>
        <item x="347"/>
        <item x="141"/>
        <item x="67"/>
        <item x="219"/>
        <item x="261"/>
        <item x="133"/>
        <item x="99"/>
        <item x="109"/>
        <item x="287"/>
        <item x="320"/>
        <item x="26"/>
        <item x="201"/>
        <item x="106"/>
        <item x="329"/>
        <item x="409"/>
        <item x="467"/>
        <item x="305"/>
        <item x="31"/>
        <item x="32"/>
        <item x="455"/>
        <item x="382"/>
        <item x="381"/>
        <item x="200"/>
        <item x="264"/>
        <item x="406"/>
        <item x="386"/>
        <item x="276"/>
        <item x="35"/>
        <item x="388"/>
        <item x="312"/>
        <item x="440"/>
        <item x="3"/>
        <item x="336"/>
        <item x="68"/>
        <item x="432"/>
        <item x="292"/>
        <item x="363"/>
        <item x="57"/>
        <item x="164"/>
        <item x="417"/>
        <item x="418"/>
        <item x="214"/>
        <item x="380"/>
        <item x="27"/>
        <item x="425"/>
        <item x="79"/>
        <item x="426"/>
        <item x="196"/>
        <item x="435"/>
        <item x="306"/>
        <item x="150"/>
        <item x="39"/>
        <item x="313"/>
        <item x="124"/>
        <item x="338"/>
        <item x="260"/>
        <item x="330"/>
        <item x="332"/>
        <item x="33"/>
        <item x="128"/>
        <item x="93"/>
        <item x="69"/>
        <item x="102"/>
        <item x="6"/>
        <item x="194"/>
        <item x="71"/>
        <item x="228"/>
        <item x="142"/>
        <item x="310"/>
        <item x="205"/>
        <item x="174"/>
        <item x="439"/>
        <item x="64"/>
        <item x="489"/>
        <item x="183"/>
        <item x="5"/>
        <item x="115"/>
        <item x="11"/>
        <item x="129"/>
        <item x="277"/>
        <item x="373"/>
        <item x="2"/>
        <item x="146"/>
        <item x="187"/>
        <item x="297"/>
        <item x="304"/>
        <item x="83"/>
        <item x="169"/>
        <item x="478"/>
        <item x="108"/>
        <item x="493"/>
        <item x="168"/>
        <item x="254"/>
        <item x="293"/>
        <item x="97"/>
        <item x="256"/>
        <item x="408"/>
        <item x="235"/>
        <item x="419"/>
        <item x="301"/>
        <item x="345"/>
        <item x="1"/>
        <item x="294"/>
        <item x="56"/>
        <item x="240"/>
        <item x="13"/>
        <item x="444"/>
        <item x="120"/>
        <item x="143"/>
        <item x="333"/>
        <item x="266"/>
        <item x="24"/>
        <item x="318"/>
        <item x="400"/>
        <item x="58"/>
        <item x="251"/>
        <item x="290"/>
        <item x="262"/>
        <item x="180"/>
        <item x="396"/>
        <item x="479"/>
        <item x="469"/>
        <item x="215"/>
        <item x="356"/>
        <item x="209"/>
        <item x="410"/>
        <item x="243"/>
        <item x="116"/>
        <item x="247"/>
        <item x="364"/>
        <item x="23"/>
        <item x="77"/>
        <item x="315"/>
        <item x="327"/>
        <item x="272"/>
        <item x="438"/>
        <item x="63"/>
        <item x="480"/>
        <item x="259"/>
        <item x="421"/>
        <item x="448"/>
        <item x="118"/>
        <item x="210"/>
        <item x="181"/>
        <item x="233"/>
        <item x="311"/>
        <item x="354"/>
        <item x="405"/>
        <item x="111"/>
        <item x="308"/>
        <item x="457"/>
        <item x="303"/>
        <item x="470"/>
        <item x="224"/>
        <item x="462"/>
        <item x="436"/>
        <item x="45"/>
        <item x="387"/>
        <item x="191"/>
        <item x="52"/>
        <item x="119"/>
        <item x="165"/>
        <item x="170"/>
        <item x="0"/>
        <item x="211"/>
        <item x="131"/>
        <item x="285"/>
        <item x="485"/>
        <item x="223"/>
        <item x="90"/>
        <item x="445"/>
        <item x="278"/>
        <item x="365"/>
        <item x="339"/>
        <item x="403"/>
        <item x="74"/>
        <item x="298"/>
        <item x="437"/>
        <item x="166"/>
        <item x="481"/>
        <item x="250"/>
        <item x="41"/>
        <item x="433"/>
        <item x="460"/>
        <item x="204"/>
        <item x="424"/>
        <item x="171"/>
        <item x="487"/>
        <item x="376"/>
        <item x="154"/>
        <item x="393"/>
        <item x="340"/>
        <item x="288"/>
        <item x="44"/>
        <item x="125"/>
        <item x="252"/>
        <item x="496"/>
        <item x="348"/>
        <item x="407"/>
        <item x="323"/>
        <item x="392"/>
        <item x="7"/>
        <item x="331"/>
        <item x="499"/>
        <item x="202"/>
        <item x="144"/>
        <item x="188"/>
        <item x="12"/>
        <item x="113"/>
        <item t="default"/>
      </items>
    </pivotField>
    <pivotField numFmtId="14" showAll="0">
      <items count="308">
        <item x="242"/>
        <item x="54"/>
        <item x="137"/>
        <item x="26"/>
        <item x="74"/>
        <item x="277"/>
        <item x="212"/>
        <item x="130"/>
        <item x="38"/>
        <item x="215"/>
        <item x="112"/>
        <item x="227"/>
        <item x="32"/>
        <item x="65"/>
        <item x="6"/>
        <item x="157"/>
        <item x="67"/>
        <item x="143"/>
        <item x="60"/>
        <item x="5"/>
        <item x="115"/>
        <item x="248"/>
        <item x="2"/>
        <item x="127"/>
        <item x="78"/>
        <item x="97"/>
        <item x="304"/>
        <item x="140"/>
        <item x="89"/>
        <item x="175"/>
        <item x="272"/>
        <item x="1"/>
        <item x="12"/>
        <item x="108"/>
        <item x="124"/>
        <item x="223"/>
        <item x="23"/>
        <item x="55"/>
        <item x="191"/>
        <item x="147"/>
        <item x="263"/>
        <item x="166"/>
        <item x="163"/>
        <item x="104"/>
        <item x="182"/>
        <item x="243"/>
        <item x="22"/>
        <item x="72"/>
        <item x="59"/>
        <item x="189"/>
        <item x="106"/>
        <item x="148"/>
        <item x="237"/>
        <item x="267"/>
        <item x="100"/>
        <item x="213"/>
        <item x="290"/>
        <item x="210"/>
        <item x="294"/>
        <item x="170"/>
        <item x="44"/>
        <item x="256"/>
        <item x="155"/>
        <item x="51"/>
        <item x="107"/>
        <item x="138"/>
        <item x="0"/>
        <item x="202"/>
        <item x="301"/>
        <item x="169"/>
        <item x="84"/>
        <item x="197"/>
        <item x="69"/>
        <item x="278"/>
        <item x="139"/>
        <item x="298"/>
        <item x="184"/>
        <item x="40"/>
        <item x="132"/>
        <item x="261"/>
        <item x="228"/>
        <item x="205"/>
        <item x="43"/>
        <item x="7"/>
        <item x="125"/>
        <item x="152"/>
        <item x="11"/>
        <item x="102"/>
        <item x="9"/>
        <item x="50"/>
        <item x="271"/>
        <item x="264"/>
        <item x="47"/>
        <item x="75"/>
        <item x="218"/>
        <item x="33"/>
        <item x="153"/>
        <item x="247"/>
        <item x="185"/>
        <item x="172"/>
        <item x="178"/>
        <item x="145"/>
        <item x="73"/>
        <item x="36"/>
        <item x="302"/>
        <item x="94"/>
        <item x="28"/>
        <item x="161"/>
        <item x="79"/>
        <item x="269"/>
        <item x="193"/>
        <item x="286"/>
        <item x="236"/>
        <item x="295"/>
        <item x="88"/>
        <item x="103"/>
        <item x="52"/>
        <item x="160"/>
        <item x="46"/>
        <item x="82"/>
        <item x="296"/>
        <item x="224"/>
        <item x="195"/>
        <item x="168"/>
        <item x="188"/>
        <item x="105"/>
        <item x="217"/>
        <item x="86"/>
        <item x="81"/>
        <item x="241"/>
        <item x="128"/>
        <item x="101"/>
        <item x="230"/>
        <item x="87"/>
        <item x="61"/>
        <item x="299"/>
        <item x="179"/>
        <item x="29"/>
        <item x="142"/>
        <item x="162"/>
        <item x="234"/>
        <item x="146"/>
        <item x="21"/>
        <item x="158"/>
        <item x="291"/>
        <item x="120"/>
        <item x="231"/>
        <item x="133"/>
        <item x="93"/>
        <item x="56"/>
        <item x="149"/>
        <item x="258"/>
        <item x="238"/>
        <item x="260"/>
        <item x="85"/>
        <item x="199"/>
        <item x="239"/>
        <item x="284"/>
        <item x="121"/>
        <item x="135"/>
        <item x="254"/>
        <item x="207"/>
        <item x="219"/>
        <item x="174"/>
        <item x="165"/>
        <item x="273"/>
        <item x="42"/>
        <item x="293"/>
        <item x="208"/>
        <item x="282"/>
        <item x="270"/>
        <item x="216"/>
        <item x="229"/>
        <item x="154"/>
        <item x="37"/>
        <item x="235"/>
        <item x="303"/>
        <item x="285"/>
        <item x="250"/>
        <item x="259"/>
        <item x="292"/>
        <item x="209"/>
        <item x="77"/>
        <item x="156"/>
        <item x="151"/>
        <item x="171"/>
        <item x="126"/>
        <item x="265"/>
        <item x="95"/>
        <item x="200"/>
        <item x="80"/>
        <item x="48"/>
        <item x="83"/>
        <item x="181"/>
        <item x="24"/>
        <item x="118"/>
        <item x="4"/>
        <item x="306"/>
        <item x="300"/>
        <item x="180"/>
        <item x="14"/>
        <item x="53"/>
        <item x="274"/>
        <item x="110"/>
        <item x="232"/>
        <item x="201"/>
        <item x="186"/>
        <item x="35"/>
        <item x="66"/>
        <item x="194"/>
        <item x="289"/>
        <item x="281"/>
        <item x="283"/>
        <item x="76"/>
        <item x="41"/>
        <item x="49"/>
        <item x="233"/>
        <item x="109"/>
        <item x="136"/>
        <item x="20"/>
        <item x="141"/>
        <item x="305"/>
        <item x="183"/>
        <item x="287"/>
        <item x="45"/>
        <item x="27"/>
        <item x="8"/>
        <item x="111"/>
        <item x="134"/>
        <item x="249"/>
        <item x="203"/>
        <item x="221"/>
        <item x="70"/>
        <item x="167"/>
        <item x="114"/>
        <item x="262"/>
        <item x="164"/>
        <item x="240"/>
        <item x="16"/>
        <item x="253"/>
        <item x="92"/>
        <item x="131"/>
        <item x="220"/>
        <item x="144"/>
        <item x="173"/>
        <item x="19"/>
        <item x="122"/>
        <item x="150"/>
        <item x="57"/>
        <item x="62"/>
        <item x="187"/>
        <item x="297"/>
        <item x="39"/>
        <item x="113"/>
        <item x="176"/>
        <item x="90"/>
        <item x="177"/>
        <item x="96"/>
        <item x="17"/>
        <item x="123"/>
        <item x="10"/>
        <item x="119"/>
        <item x="18"/>
        <item x="280"/>
        <item x="198"/>
        <item x="71"/>
        <item x="266"/>
        <item x="99"/>
        <item x="246"/>
        <item x="275"/>
        <item x="58"/>
        <item x="68"/>
        <item x="13"/>
        <item x="244"/>
        <item x="226"/>
        <item x="116"/>
        <item x="15"/>
        <item x="129"/>
        <item x="245"/>
        <item x="63"/>
        <item x="190"/>
        <item x="117"/>
        <item x="91"/>
        <item x="98"/>
        <item x="204"/>
        <item x="25"/>
        <item x="222"/>
        <item x="211"/>
        <item x="30"/>
        <item x="31"/>
        <item x="288"/>
        <item x="252"/>
        <item x="251"/>
        <item x="159"/>
        <item x="192"/>
        <item x="268"/>
        <item x="255"/>
        <item x="196"/>
        <item x="34"/>
        <item x="257"/>
        <item x="214"/>
        <item x="279"/>
        <item x="3"/>
        <item x="225"/>
        <item x="64"/>
        <item x="276"/>
        <item x="206"/>
        <item t="default"/>
      </items>
    </pivotField>
    <pivotField showAll="0">
      <items count="337">
        <item x="314"/>
        <item x="44"/>
        <item x="18"/>
        <item x="215"/>
        <item x="189"/>
        <item x="50"/>
        <item x="293"/>
        <item x="87"/>
        <item x="224"/>
        <item x="74"/>
        <item x="216"/>
        <item x="96"/>
        <item x="105"/>
        <item x="119"/>
        <item x="326"/>
        <item x="260"/>
        <item x="322"/>
        <item x="307"/>
        <item x="195"/>
        <item x="155"/>
        <item x="78"/>
        <item x="152"/>
        <item x="120"/>
        <item x="165"/>
        <item x="17"/>
        <item x="95"/>
        <item x="138"/>
        <item x="331"/>
        <item x="227"/>
        <item x="128"/>
        <item x="253"/>
        <item x="218"/>
        <item x="79"/>
        <item x="73"/>
        <item x="266"/>
        <item x="127"/>
        <item x="309"/>
        <item x="330"/>
        <item x="51"/>
        <item x="81"/>
        <item x="182"/>
        <item x="275"/>
        <item x="185"/>
        <item x="217"/>
        <item x="283"/>
        <item x="280"/>
        <item x="54"/>
        <item x="254"/>
        <item x="56"/>
        <item x="290"/>
        <item x="299"/>
        <item x="197"/>
        <item x="271"/>
        <item x="328"/>
        <item x="335"/>
        <item x="145"/>
        <item x="104"/>
        <item x="141"/>
        <item x="140"/>
        <item x="294"/>
        <item x="75"/>
        <item x="192"/>
        <item x="161"/>
        <item x="57"/>
        <item x="244"/>
        <item x="242"/>
        <item x="27"/>
        <item x="12"/>
        <item x="202"/>
        <item x="297"/>
        <item x="156"/>
        <item x="61"/>
        <item x="126"/>
        <item x="237"/>
        <item x="200"/>
        <item x="118"/>
        <item x="85"/>
        <item x="259"/>
        <item x="68"/>
        <item x="190"/>
        <item x="181"/>
        <item x="135"/>
        <item x="269"/>
        <item x="312"/>
        <item x="334"/>
        <item x="304"/>
        <item x="172"/>
        <item x="221"/>
        <item x="163"/>
        <item x="210"/>
        <item x="58"/>
        <item x="106"/>
        <item x="308"/>
        <item x="212"/>
        <item x="49"/>
        <item x="16"/>
        <item x="277"/>
        <item x="222"/>
        <item x="53"/>
        <item x="3"/>
        <item x="270"/>
        <item x="320"/>
        <item x="0"/>
        <item x="92"/>
        <item x="154"/>
        <item x="168"/>
        <item x="333"/>
        <item x="34"/>
        <item x="21"/>
        <item x="100"/>
        <item x="88"/>
        <item x="310"/>
        <item x="264"/>
        <item x="23"/>
        <item x="47"/>
        <item x="231"/>
        <item x="29"/>
        <item x="281"/>
        <item x="324"/>
        <item x="113"/>
        <item x="272"/>
        <item x="102"/>
        <item x="187"/>
        <item x="164"/>
        <item x="220"/>
        <item x="209"/>
        <item x="211"/>
        <item x="89"/>
        <item x="151"/>
        <item x="144"/>
        <item x="158"/>
        <item x="77"/>
        <item x="121"/>
        <item x="201"/>
        <item x="300"/>
        <item x="282"/>
        <item x="64"/>
        <item x="207"/>
        <item x="188"/>
        <item x="14"/>
        <item x="26"/>
        <item x="2"/>
        <item x="1"/>
        <item x="35"/>
        <item x="66"/>
        <item x="284"/>
        <item x="174"/>
        <item x="228"/>
        <item x="317"/>
        <item x="125"/>
        <item x="198"/>
        <item x="59"/>
        <item x="40"/>
        <item x="229"/>
        <item x="267"/>
        <item x="143"/>
        <item x="136"/>
        <item x="256"/>
        <item x="110"/>
        <item x="99"/>
        <item x="31"/>
        <item x="139"/>
        <item x="149"/>
        <item x="63"/>
        <item x="241"/>
        <item x="311"/>
        <item x="115"/>
        <item x="208"/>
        <item x="298"/>
        <item x="72"/>
        <item x="245"/>
        <item x="122"/>
        <item x="323"/>
        <item x="238"/>
        <item x="160"/>
        <item x="32"/>
        <item x="173"/>
        <item x="179"/>
        <item x="301"/>
        <item x="148"/>
        <item x="292"/>
        <item x="150"/>
        <item x="129"/>
        <item x="214"/>
        <item x="91"/>
        <item x="303"/>
        <item x="70"/>
        <item x="223"/>
        <item x="60"/>
        <item x="206"/>
        <item x="289"/>
        <item x="159"/>
        <item x="76"/>
        <item x="48"/>
        <item x="133"/>
        <item x="287"/>
        <item x="101"/>
        <item x="41"/>
        <item x="247"/>
        <item x="319"/>
        <item x="315"/>
        <item x="131"/>
        <item x="137"/>
        <item x="225"/>
        <item x="19"/>
        <item x="38"/>
        <item x="230"/>
        <item x="250"/>
        <item x="97"/>
        <item x="112"/>
        <item x="62"/>
        <item x="191"/>
        <item x="306"/>
        <item x="103"/>
        <item x="278"/>
        <item x="43"/>
        <item x="147"/>
        <item x="325"/>
        <item x="276"/>
        <item x="240"/>
        <item x="183"/>
        <item x="302"/>
        <item x="255"/>
        <item x="114"/>
        <item x="67"/>
        <item x="232"/>
        <item x="262"/>
        <item x="15"/>
        <item x="332"/>
        <item x="107"/>
        <item x="166"/>
        <item x="196"/>
        <item x="98"/>
        <item x="313"/>
        <item x="180"/>
        <item x="329"/>
        <item x="258"/>
        <item x="285"/>
        <item x="234"/>
        <item x="65"/>
        <item x="175"/>
        <item x="177"/>
        <item x="108"/>
        <item x="249"/>
        <item x="251"/>
        <item x="7"/>
        <item x="176"/>
        <item x="25"/>
        <item x="252"/>
        <item x="46"/>
        <item x="82"/>
        <item x="246"/>
        <item x="116"/>
        <item x="36"/>
        <item x="117"/>
        <item x="37"/>
        <item x="226"/>
        <item x="171"/>
        <item x="8"/>
        <item x="6"/>
        <item x="80"/>
        <item x="142"/>
        <item x="268"/>
        <item x="109"/>
        <item x="22"/>
        <item x="84"/>
        <item x="33"/>
        <item x="11"/>
        <item x="20"/>
        <item x="30"/>
        <item x="123"/>
        <item x="261"/>
        <item x="86"/>
        <item x="279"/>
        <item x="42"/>
        <item x="296"/>
        <item x="265"/>
        <item x="199"/>
        <item x="316"/>
        <item x="111"/>
        <item x="273"/>
        <item x="169"/>
        <item x="286"/>
        <item x="153"/>
        <item x="94"/>
        <item x="170"/>
        <item x="186"/>
        <item x="213"/>
        <item x="236"/>
        <item x="5"/>
        <item x="194"/>
        <item x="24"/>
        <item x="233"/>
        <item x="28"/>
        <item x="204"/>
        <item x="134"/>
        <item x="203"/>
        <item x="243"/>
        <item x="327"/>
        <item x="39"/>
        <item x="239"/>
        <item x="167"/>
        <item x="93"/>
        <item x="288"/>
        <item x="178"/>
        <item x="184"/>
        <item x="321"/>
        <item x="235"/>
        <item x="130"/>
        <item x="83"/>
        <item x="257"/>
        <item x="318"/>
        <item x="146"/>
        <item x="90"/>
        <item x="69"/>
        <item x="193"/>
        <item x="219"/>
        <item x="291"/>
        <item x="263"/>
        <item x="10"/>
        <item x="45"/>
        <item x="248"/>
        <item x="157"/>
        <item x="55"/>
        <item x="71"/>
        <item x="162"/>
        <item x="124"/>
        <item x="274"/>
        <item x="4"/>
        <item x="305"/>
        <item x="9"/>
        <item x="295"/>
        <item x="205"/>
        <item x="132"/>
        <item x="13"/>
        <item x="52"/>
        <item t="default"/>
      </items>
    </pivotField>
    <pivotField showAll="0">
      <items count="20">
        <item x="4"/>
        <item x="6"/>
        <item x="1"/>
        <item x="17"/>
        <item x="5"/>
        <item x="11"/>
        <item x="7"/>
        <item x="16"/>
        <item x="13"/>
        <item x="9"/>
        <item x="3"/>
        <item x="2"/>
        <item x="10"/>
        <item x="8"/>
        <item x="12"/>
        <item x="18"/>
        <item x="14"/>
        <item x="0"/>
        <item x="15"/>
        <item t="default"/>
      </items>
    </pivotField>
    <pivotField axis="axisRow" showAll="0">
      <items count="26">
        <item x="8"/>
        <item x="22"/>
        <item x="16"/>
        <item x="12"/>
        <item x="11"/>
        <item x="18"/>
        <item x="1"/>
        <item x="24"/>
        <item x="23"/>
        <item x="6"/>
        <item x="3"/>
        <item x="21"/>
        <item x="20"/>
        <item x="14"/>
        <item x="19"/>
        <item x="17"/>
        <item x="0"/>
        <item x="2"/>
        <item x="9"/>
        <item x="4"/>
        <item x="5"/>
        <item x="10"/>
        <item x="7"/>
        <item x="13"/>
        <item x="15"/>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26">
    <i>
      <x/>
    </i>
    <i>
      <x v="1"/>
    </i>
    <i>
      <x v="2"/>
    </i>
    <i>
      <x v="3"/>
    </i>
    <i>
      <x v="4"/>
    </i>
    <i>
      <x v="5"/>
    </i>
    <i>
      <x v="6"/>
    </i>
    <i>
      <x v="7"/>
    </i>
    <i>
      <x v="8"/>
    </i>
    <i>
      <x v="9"/>
    </i>
    <i>
      <x v="10"/>
    </i>
    <i>
      <x v="11"/>
    </i>
    <i>
      <x v="12"/>
    </i>
    <i>
      <x v="13"/>
    </i>
    <i>
      <x v="14"/>
    </i>
    <i>
      <x v="15"/>
    </i>
    <i>
      <x v="16"/>
    </i>
    <i>
      <x v="17"/>
    </i>
    <i>
      <x v="18"/>
    </i>
    <i>
      <x v="19"/>
    </i>
    <i>
      <x v="20"/>
    </i>
    <i>
      <x v="21"/>
    </i>
    <i>
      <x v="22"/>
    </i>
    <i>
      <x v="23"/>
    </i>
    <i>
      <x v="24"/>
    </i>
    <i t="grand">
      <x/>
    </i>
  </rowItems>
  <colItems count="1">
    <i/>
  </colItems>
  <dataFields count="1">
    <dataField name="Count of Order ID" fld="0" subtotal="count" baseField="0" baseItem="0"/>
  </dataFields>
  <chartFormats count="4">
    <chartFormat chart="10" format="0" series="1">
      <pivotArea type="data" outline="0" fieldPosition="0">
        <references count="1">
          <reference field="4294967294" count="1" selected="0">
            <x v="0"/>
          </reference>
        </references>
      </pivotArea>
    </chartFormat>
    <chartFormat chart="20" format="4" series="1">
      <pivotArea type="data" outline="0" fieldPosition="0">
        <references count="1">
          <reference field="4294967294" count="1" selected="0">
            <x v="0"/>
          </reference>
        </references>
      </pivotArea>
    </chartFormat>
    <chartFormat chart="26" format="0"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1962B63-B12D-4EA4-B88E-C99AB05A557C}" name="PivotTable20"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L2:M28" firstHeaderRow="1" firstDataRow="1" firstDataCol="1"/>
  <pivotFields count="7">
    <pivotField dataField="1" showAll="0">
      <items count="501">
        <item x="61"/>
        <item x="9"/>
        <item x="51"/>
        <item x="324"/>
        <item x="414"/>
        <item x="398"/>
        <item x="442"/>
        <item x="48"/>
        <item x="192"/>
        <item x="80"/>
        <item x="319"/>
        <item x="269"/>
        <item x="34"/>
        <item x="189"/>
        <item x="420"/>
        <item x="372"/>
        <item x="253"/>
        <item x="227"/>
        <item x="230"/>
        <item x="295"/>
        <item x="239"/>
        <item x="177"/>
        <item x="321"/>
        <item x="474"/>
        <item x="155"/>
        <item x="78"/>
        <item x="434"/>
        <item x="450"/>
        <item x="37"/>
        <item x="342"/>
        <item x="397"/>
        <item x="486"/>
        <item x="137"/>
        <item x="218"/>
        <item x="222"/>
        <item x="152"/>
        <item x="371"/>
        <item x="104"/>
        <item x="29"/>
        <item x="248"/>
        <item x="476"/>
        <item x="207"/>
        <item x="84"/>
        <item x="411"/>
        <item x="267"/>
        <item x="482"/>
        <item x="452"/>
        <item x="353"/>
        <item x="471"/>
        <item x="96"/>
        <item x="114"/>
        <item x="289"/>
        <item x="53"/>
        <item x="203"/>
        <item x="216"/>
        <item x="47"/>
        <item x="88"/>
        <item x="472"/>
        <item x="335"/>
        <item x="275"/>
        <item x="281"/>
        <item x="221"/>
        <item x="258"/>
        <item x="117"/>
        <item x="317"/>
        <item x="94"/>
        <item x="87"/>
        <item x="361"/>
        <item x="161"/>
        <item x="147"/>
        <item x="112"/>
        <item x="473"/>
        <item x="343"/>
        <item x="488"/>
        <item x="95"/>
        <item x="65"/>
        <item x="483"/>
        <item x="241"/>
        <item x="412"/>
        <item x="416"/>
        <item x="30"/>
        <item x="173"/>
        <item x="208"/>
        <item x="350"/>
        <item x="179"/>
        <item x="22"/>
        <item x="220"/>
        <item x="231"/>
        <item x="195"/>
        <item x="463"/>
        <item x="136"/>
        <item x="344"/>
        <item x="157"/>
        <item x="316"/>
        <item x="309"/>
        <item x="103"/>
        <item x="59"/>
        <item x="182"/>
        <item x="389"/>
        <item x="355"/>
        <item x="391"/>
        <item x="92"/>
        <item x="280"/>
        <item x="357"/>
        <item x="449"/>
        <item x="464"/>
        <item x="497"/>
        <item x="138"/>
        <item x="454"/>
        <item x="160"/>
        <item x="384"/>
        <item x="296"/>
        <item x="322"/>
        <item x="234"/>
        <item x="213"/>
        <item x="427"/>
        <item x="43"/>
        <item x="199"/>
        <item x="468"/>
        <item x="466"/>
        <item x="299"/>
        <item x="446"/>
        <item x="413"/>
        <item x="314"/>
        <item x="341"/>
        <item x="190"/>
        <item x="242"/>
        <item x="85"/>
        <item x="38"/>
        <item x="72"/>
        <item x="352"/>
        <item x="490"/>
        <item x="451"/>
        <item x="378"/>
        <item x="390"/>
        <item x="465"/>
        <item x="302"/>
        <item x="82"/>
        <item x="351"/>
        <item x="428"/>
        <item x="193"/>
        <item x="495"/>
        <item x="185"/>
        <item x="226"/>
        <item x="145"/>
        <item x="399"/>
        <item x="105"/>
        <item x="282"/>
        <item x="86"/>
        <item x="175"/>
        <item x="178"/>
        <item x="49"/>
        <item x="89"/>
        <item x="246"/>
        <item x="25"/>
        <item x="134"/>
        <item x="4"/>
        <item x="498"/>
        <item x="484"/>
        <item x="244"/>
        <item x="15"/>
        <item x="55"/>
        <item x="429"/>
        <item x="122"/>
        <item x="346"/>
        <item x="283"/>
        <item x="255"/>
        <item x="36"/>
        <item x="229"/>
        <item x="225"/>
        <item x="334"/>
        <item x="70"/>
        <item x="273"/>
        <item x="456"/>
        <item x="443"/>
        <item x="447"/>
        <item x="81"/>
        <item x="42"/>
        <item x="50"/>
        <item x="349"/>
        <item x="121"/>
        <item x="238"/>
        <item x="461"/>
        <item x="492"/>
        <item x="163"/>
        <item x="21"/>
        <item x="172"/>
        <item x="494"/>
        <item x="249"/>
        <item x="453"/>
        <item x="167"/>
        <item x="415"/>
        <item x="46"/>
        <item x="307"/>
        <item x="265"/>
        <item x="158"/>
        <item x="28"/>
        <item x="8"/>
        <item x="291"/>
        <item x="362"/>
        <item x="422"/>
        <item x="156"/>
        <item x="123"/>
        <item x="245"/>
        <item x="374"/>
        <item x="159"/>
        <item x="377"/>
        <item x="286"/>
        <item x="328"/>
        <item x="75"/>
        <item x="358"/>
        <item x="270"/>
        <item x="100"/>
        <item x="198"/>
        <item x="458"/>
        <item x="217"/>
        <item x="127"/>
        <item x="394"/>
        <item x="212"/>
        <item x="368"/>
        <item x="359"/>
        <item x="459"/>
        <item x="17"/>
        <item x="383"/>
        <item x="101"/>
        <item x="153"/>
        <item x="325"/>
        <item x="176"/>
        <item x="232"/>
        <item x="20"/>
        <item x="139"/>
        <item x="184"/>
        <item x="423"/>
        <item x="491"/>
        <item x="326"/>
        <item x="60"/>
        <item x="268"/>
        <item x="91"/>
        <item x="66"/>
        <item x="257"/>
        <item x="477"/>
        <item x="40"/>
        <item x="271"/>
        <item x="401"/>
        <item x="126"/>
        <item x="395"/>
        <item x="151"/>
        <item x="148"/>
        <item x="236"/>
        <item x="98"/>
        <item x="237"/>
        <item x="107"/>
        <item x="18"/>
        <item x="206"/>
        <item x="54"/>
        <item x="140"/>
        <item x="162"/>
        <item x="10"/>
        <item x="135"/>
        <item x="375"/>
        <item x="284"/>
        <item x="19"/>
        <item x="300"/>
        <item x="385"/>
        <item x="404"/>
        <item x="441"/>
        <item x="279"/>
        <item x="76"/>
        <item x="402"/>
        <item x="110"/>
        <item x="370"/>
        <item x="430"/>
        <item x="62"/>
        <item x="360"/>
        <item x="274"/>
        <item x="263"/>
        <item x="73"/>
        <item x="130"/>
        <item x="431"/>
        <item x="379"/>
        <item x="14"/>
        <item x="366"/>
        <item x="337"/>
        <item x="475"/>
        <item x="132"/>
        <item x="186"/>
        <item x="16"/>
        <item x="149"/>
        <item x="369"/>
        <item x="197"/>
        <item x="367"/>
        <item x="347"/>
        <item x="141"/>
        <item x="67"/>
        <item x="219"/>
        <item x="261"/>
        <item x="133"/>
        <item x="99"/>
        <item x="109"/>
        <item x="287"/>
        <item x="320"/>
        <item x="26"/>
        <item x="201"/>
        <item x="106"/>
        <item x="329"/>
        <item x="409"/>
        <item x="467"/>
        <item x="305"/>
        <item x="31"/>
        <item x="32"/>
        <item x="455"/>
        <item x="382"/>
        <item x="381"/>
        <item x="200"/>
        <item x="264"/>
        <item x="406"/>
        <item x="386"/>
        <item x="276"/>
        <item x="35"/>
        <item x="388"/>
        <item x="312"/>
        <item x="440"/>
        <item x="3"/>
        <item x="336"/>
        <item x="68"/>
        <item x="432"/>
        <item x="292"/>
        <item x="363"/>
        <item x="57"/>
        <item x="164"/>
        <item x="417"/>
        <item x="418"/>
        <item x="214"/>
        <item x="380"/>
        <item x="27"/>
        <item x="425"/>
        <item x="79"/>
        <item x="426"/>
        <item x="196"/>
        <item x="435"/>
        <item x="306"/>
        <item x="150"/>
        <item x="39"/>
        <item x="313"/>
        <item x="124"/>
        <item x="338"/>
        <item x="260"/>
        <item x="330"/>
        <item x="332"/>
        <item x="33"/>
        <item x="128"/>
        <item x="93"/>
        <item x="69"/>
        <item x="102"/>
        <item x="6"/>
        <item x="194"/>
        <item x="71"/>
        <item x="228"/>
        <item x="142"/>
        <item x="310"/>
        <item x="205"/>
        <item x="174"/>
        <item x="439"/>
        <item x="64"/>
        <item x="489"/>
        <item x="183"/>
        <item x="5"/>
        <item x="115"/>
        <item x="11"/>
        <item x="129"/>
        <item x="277"/>
        <item x="373"/>
        <item x="2"/>
        <item x="146"/>
        <item x="187"/>
        <item x="297"/>
        <item x="304"/>
        <item x="83"/>
        <item x="169"/>
        <item x="478"/>
        <item x="108"/>
        <item x="493"/>
        <item x="168"/>
        <item x="254"/>
        <item x="293"/>
        <item x="97"/>
        <item x="256"/>
        <item x="408"/>
        <item x="235"/>
        <item x="419"/>
        <item x="301"/>
        <item x="345"/>
        <item x="1"/>
        <item x="294"/>
        <item x="56"/>
        <item x="240"/>
        <item x="13"/>
        <item x="444"/>
        <item x="120"/>
        <item x="143"/>
        <item x="333"/>
        <item x="266"/>
        <item x="24"/>
        <item x="318"/>
        <item x="400"/>
        <item x="58"/>
        <item x="251"/>
        <item x="290"/>
        <item x="262"/>
        <item x="180"/>
        <item x="396"/>
        <item x="479"/>
        <item x="469"/>
        <item x="215"/>
        <item x="356"/>
        <item x="209"/>
        <item x="410"/>
        <item x="243"/>
        <item x="116"/>
        <item x="247"/>
        <item x="364"/>
        <item x="23"/>
        <item x="77"/>
        <item x="315"/>
        <item x="327"/>
        <item x="272"/>
        <item x="438"/>
        <item x="63"/>
        <item x="480"/>
        <item x="259"/>
        <item x="421"/>
        <item x="448"/>
        <item x="118"/>
        <item x="210"/>
        <item x="181"/>
        <item x="233"/>
        <item x="311"/>
        <item x="354"/>
        <item x="405"/>
        <item x="111"/>
        <item x="308"/>
        <item x="457"/>
        <item x="303"/>
        <item x="470"/>
        <item x="224"/>
        <item x="462"/>
        <item x="436"/>
        <item x="45"/>
        <item x="387"/>
        <item x="191"/>
        <item x="52"/>
        <item x="119"/>
        <item x="165"/>
        <item x="170"/>
        <item x="0"/>
        <item x="211"/>
        <item x="131"/>
        <item x="285"/>
        <item x="485"/>
        <item x="223"/>
        <item x="90"/>
        <item x="445"/>
        <item x="278"/>
        <item x="365"/>
        <item x="339"/>
        <item x="403"/>
        <item x="74"/>
        <item x="298"/>
        <item x="437"/>
        <item x="166"/>
        <item x="481"/>
        <item x="250"/>
        <item x="41"/>
        <item x="433"/>
        <item x="460"/>
        <item x="204"/>
        <item x="424"/>
        <item x="171"/>
        <item x="487"/>
        <item x="376"/>
        <item x="154"/>
        <item x="393"/>
        <item x="340"/>
        <item x="288"/>
        <item x="44"/>
        <item x="125"/>
        <item x="252"/>
        <item x="496"/>
        <item x="348"/>
        <item x="407"/>
        <item x="323"/>
        <item x="392"/>
        <item x="7"/>
        <item x="331"/>
        <item x="499"/>
        <item x="202"/>
        <item x="144"/>
        <item x="188"/>
        <item x="12"/>
        <item x="113"/>
        <item t="default"/>
      </items>
    </pivotField>
    <pivotField numFmtId="14" showAll="0">
      <items count="308">
        <item x="242"/>
        <item x="54"/>
        <item x="137"/>
        <item x="26"/>
        <item x="74"/>
        <item x="277"/>
        <item x="212"/>
        <item x="130"/>
        <item x="38"/>
        <item x="215"/>
        <item x="112"/>
        <item x="227"/>
        <item x="32"/>
        <item x="65"/>
        <item x="6"/>
        <item x="157"/>
        <item x="67"/>
        <item x="143"/>
        <item x="60"/>
        <item x="5"/>
        <item x="115"/>
        <item x="248"/>
        <item x="2"/>
        <item x="127"/>
        <item x="78"/>
        <item x="97"/>
        <item x="304"/>
        <item x="140"/>
        <item x="89"/>
        <item x="175"/>
        <item x="272"/>
        <item x="1"/>
        <item x="12"/>
        <item x="108"/>
        <item x="124"/>
        <item x="223"/>
        <item x="23"/>
        <item x="55"/>
        <item x="191"/>
        <item x="147"/>
        <item x="263"/>
        <item x="166"/>
        <item x="163"/>
        <item x="104"/>
        <item x="182"/>
        <item x="243"/>
        <item x="22"/>
        <item x="72"/>
        <item x="59"/>
        <item x="189"/>
        <item x="106"/>
        <item x="148"/>
        <item x="237"/>
        <item x="267"/>
        <item x="100"/>
        <item x="213"/>
        <item x="290"/>
        <item x="210"/>
        <item x="294"/>
        <item x="170"/>
        <item x="44"/>
        <item x="256"/>
        <item x="155"/>
        <item x="51"/>
        <item x="107"/>
        <item x="138"/>
        <item x="0"/>
        <item x="202"/>
        <item x="301"/>
        <item x="169"/>
        <item x="84"/>
        <item x="197"/>
        <item x="69"/>
        <item x="278"/>
        <item x="139"/>
        <item x="298"/>
        <item x="184"/>
        <item x="40"/>
        <item x="132"/>
        <item x="261"/>
        <item x="228"/>
        <item x="205"/>
        <item x="43"/>
        <item x="7"/>
        <item x="125"/>
        <item x="152"/>
        <item x="11"/>
        <item x="102"/>
        <item x="9"/>
        <item x="50"/>
        <item x="271"/>
        <item x="264"/>
        <item x="47"/>
        <item x="75"/>
        <item x="218"/>
        <item x="33"/>
        <item x="153"/>
        <item x="247"/>
        <item x="185"/>
        <item x="172"/>
        <item x="178"/>
        <item x="145"/>
        <item x="73"/>
        <item x="36"/>
        <item x="302"/>
        <item x="94"/>
        <item x="28"/>
        <item x="161"/>
        <item x="79"/>
        <item x="269"/>
        <item x="193"/>
        <item x="286"/>
        <item x="236"/>
        <item x="295"/>
        <item x="88"/>
        <item x="103"/>
        <item x="52"/>
        <item x="160"/>
        <item x="46"/>
        <item x="82"/>
        <item x="296"/>
        <item x="224"/>
        <item x="195"/>
        <item x="168"/>
        <item x="188"/>
        <item x="105"/>
        <item x="217"/>
        <item x="86"/>
        <item x="81"/>
        <item x="241"/>
        <item x="128"/>
        <item x="101"/>
        <item x="230"/>
        <item x="87"/>
        <item x="61"/>
        <item x="299"/>
        <item x="179"/>
        <item x="29"/>
        <item x="142"/>
        <item x="162"/>
        <item x="234"/>
        <item x="146"/>
        <item x="21"/>
        <item x="158"/>
        <item x="291"/>
        <item x="120"/>
        <item x="231"/>
        <item x="133"/>
        <item x="93"/>
        <item x="56"/>
        <item x="149"/>
        <item x="258"/>
        <item x="238"/>
        <item x="260"/>
        <item x="85"/>
        <item x="199"/>
        <item x="239"/>
        <item x="284"/>
        <item x="121"/>
        <item x="135"/>
        <item x="254"/>
        <item x="207"/>
        <item x="219"/>
        <item x="174"/>
        <item x="165"/>
        <item x="273"/>
        <item x="42"/>
        <item x="293"/>
        <item x="208"/>
        <item x="282"/>
        <item x="270"/>
        <item x="216"/>
        <item x="229"/>
        <item x="154"/>
        <item x="37"/>
        <item x="235"/>
        <item x="303"/>
        <item x="285"/>
        <item x="250"/>
        <item x="259"/>
        <item x="292"/>
        <item x="209"/>
        <item x="77"/>
        <item x="156"/>
        <item x="151"/>
        <item x="171"/>
        <item x="126"/>
        <item x="265"/>
        <item x="95"/>
        <item x="200"/>
        <item x="80"/>
        <item x="48"/>
        <item x="83"/>
        <item x="181"/>
        <item x="24"/>
        <item x="118"/>
        <item x="4"/>
        <item x="306"/>
        <item x="300"/>
        <item x="180"/>
        <item x="14"/>
        <item x="53"/>
        <item x="274"/>
        <item x="110"/>
        <item x="232"/>
        <item x="201"/>
        <item x="186"/>
        <item x="35"/>
        <item x="66"/>
        <item x="194"/>
        <item x="289"/>
        <item x="281"/>
        <item x="283"/>
        <item x="76"/>
        <item x="41"/>
        <item x="49"/>
        <item x="233"/>
        <item x="109"/>
        <item x="136"/>
        <item x="20"/>
        <item x="141"/>
        <item x="305"/>
        <item x="183"/>
        <item x="287"/>
        <item x="45"/>
        <item x="27"/>
        <item x="8"/>
        <item x="111"/>
        <item x="134"/>
        <item x="249"/>
        <item x="203"/>
        <item x="221"/>
        <item x="70"/>
        <item x="167"/>
        <item x="114"/>
        <item x="262"/>
        <item x="164"/>
        <item x="240"/>
        <item x="16"/>
        <item x="253"/>
        <item x="92"/>
        <item x="131"/>
        <item x="220"/>
        <item x="144"/>
        <item x="173"/>
        <item x="19"/>
        <item x="122"/>
        <item x="150"/>
        <item x="57"/>
        <item x="62"/>
        <item x="187"/>
        <item x="297"/>
        <item x="39"/>
        <item x="113"/>
        <item x="176"/>
        <item x="90"/>
        <item x="177"/>
        <item x="96"/>
        <item x="17"/>
        <item x="123"/>
        <item x="10"/>
        <item x="119"/>
        <item x="18"/>
        <item x="280"/>
        <item x="198"/>
        <item x="71"/>
        <item x="266"/>
        <item x="99"/>
        <item x="246"/>
        <item x="275"/>
        <item x="58"/>
        <item x="68"/>
        <item x="13"/>
        <item x="244"/>
        <item x="226"/>
        <item x="116"/>
        <item x="15"/>
        <item x="129"/>
        <item x="245"/>
        <item x="63"/>
        <item x="190"/>
        <item x="117"/>
        <item x="91"/>
        <item x="98"/>
        <item x="204"/>
        <item x="25"/>
        <item x="222"/>
        <item x="211"/>
        <item x="30"/>
        <item x="31"/>
        <item x="288"/>
        <item x="252"/>
        <item x="251"/>
        <item x="159"/>
        <item x="192"/>
        <item x="268"/>
        <item x="255"/>
        <item x="196"/>
        <item x="34"/>
        <item x="257"/>
        <item x="214"/>
        <item x="279"/>
        <item x="3"/>
        <item x="225"/>
        <item x="64"/>
        <item x="276"/>
        <item x="206"/>
        <item t="default"/>
      </items>
    </pivotField>
    <pivotField showAll="0">
      <items count="337">
        <item x="314"/>
        <item x="44"/>
        <item x="18"/>
        <item x="215"/>
        <item x="189"/>
        <item x="50"/>
        <item x="293"/>
        <item x="87"/>
        <item x="224"/>
        <item x="74"/>
        <item x="216"/>
        <item x="96"/>
        <item x="105"/>
        <item x="119"/>
        <item x="326"/>
        <item x="260"/>
        <item x="322"/>
        <item x="307"/>
        <item x="195"/>
        <item x="155"/>
        <item x="78"/>
        <item x="152"/>
        <item x="120"/>
        <item x="165"/>
        <item x="17"/>
        <item x="95"/>
        <item x="138"/>
        <item x="331"/>
        <item x="227"/>
        <item x="128"/>
        <item x="253"/>
        <item x="218"/>
        <item x="79"/>
        <item x="73"/>
        <item x="266"/>
        <item x="127"/>
        <item x="309"/>
        <item x="330"/>
        <item x="51"/>
        <item x="81"/>
        <item x="182"/>
        <item x="275"/>
        <item x="185"/>
        <item x="217"/>
        <item x="283"/>
        <item x="280"/>
        <item x="54"/>
        <item x="254"/>
        <item x="56"/>
        <item x="290"/>
        <item x="299"/>
        <item x="197"/>
        <item x="271"/>
        <item x="328"/>
        <item x="335"/>
        <item x="145"/>
        <item x="104"/>
        <item x="141"/>
        <item x="140"/>
        <item x="294"/>
        <item x="75"/>
        <item x="192"/>
        <item x="161"/>
        <item x="57"/>
        <item x="244"/>
        <item x="242"/>
        <item x="27"/>
        <item x="12"/>
        <item x="202"/>
        <item x="297"/>
        <item x="156"/>
        <item x="61"/>
        <item x="126"/>
        <item x="237"/>
        <item x="200"/>
        <item x="118"/>
        <item x="85"/>
        <item x="259"/>
        <item x="68"/>
        <item x="190"/>
        <item x="181"/>
        <item x="135"/>
        <item x="269"/>
        <item x="312"/>
        <item x="334"/>
        <item x="304"/>
        <item x="172"/>
        <item x="221"/>
        <item x="163"/>
        <item x="210"/>
        <item x="58"/>
        <item x="106"/>
        <item x="308"/>
        <item x="212"/>
        <item x="49"/>
        <item x="16"/>
        <item x="277"/>
        <item x="222"/>
        <item x="53"/>
        <item x="3"/>
        <item x="270"/>
        <item x="320"/>
        <item x="0"/>
        <item x="92"/>
        <item x="154"/>
        <item x="168"/>
        <item x="333"/>
        <item x="34"/>
        <item x="21"/>
        <item x="100"/>
        <item x="88"/>
        <item x="310"/>
        <item x="264"/>
        <item x="23"/>
        <item x="47"/>
        <item x="231"/>
        <item x="29"/>
        <item x="281"/>
        <item x="324"/>
        <item x="113"/>
        <item x="272"/>
        <item x="102"/>
        <item x="187"/>
        <item x="164"/>
        <item x="220"/>
        <item x="209"/>
        <item x="211"/>
        <item x="89"/>
        <item x="151"/>
        <item x="144"/>
        <item x="158"/>
        <item x="77"/>
        <item x="121"/>
        <item x="201"/>
        <item x="300"/>
        <item x="282"/>
        <item x="64"/>
        <item x="207"/>
        <item x="188"/>
        <item x="14"/>
        <item x="26"/>
        <item x="2"/>
        <item x="1"/>
        <item x="35"/>
        <item x="66"/>
        <item x="284"/>
        <item x="174"/>
        <item x="228"/>
        <item x="317"/>
        <item x="125"/>
        <item x="198"/>
        <item x="59"/>
        <item x="40"/>
        <item x="229"/>
        <item x="267"/>
        <item x="143"/>
        <item x="136"/>
        <item x="256"/>
        <item x="110"/>
        <item x="99"/>
        <item x="31"/>
        <item x="139"/>
        <item x="149"/>
        <item x="63"/>
        <item x="241"/>
        <item x="311"/>
        <item x="115"/>
        <item x="208"/>
        <item x="298"/>
        <item x="72"/>
        <item x="245"/>
        <item x="122"/>
        <item x="323"/>
        <item x="238"/>
        <item x="160"/>
        <item x="32"/>
        <item x="173"/>
        <item x="179"/>
        <item x="301"/>
        <item x="148"/>
        <item x="292"/>
        <item x="150"/>
        <item x="129"/>
        <item x="214"/>
        <item x="91"/>
        <item x="303"/>
        <item x="70"/>
        <item x="223"/>
        <item x="60"/>
        <item x="206"/>
        <item x="289"/>
        <item x="159"/>
        <item x="76"/>
        <item x="48"/>
        <item x="133"/>
        <item x="287"/>
        <item x="101"/>
        <item x="41"/>
        <item x="247"/>
        <item x="319"/>
        <item x="315"/>
        <item x="131"/>
        <item x="137"/>
        <item x="225"/>
        <item x="19"/>
        <item x="38"/>
        <item x="230"/>
        <item x="250"/>
        <item x="97"/>
        <item x="112"/>
        <item x="62"/>
        <item x="191"/>
        <item x="306"/>
        <item x="103"/>
        <item x="278"/>
        <item x="43"/>
        <item x="147"/>
        <item x="325"/>
        <item x="276"/>
        <item x="240"/>
        <item x="183"/>
        <item x="302"/>
        <item x="255"/>
        <item x="114"/>
        <item x="67"/>
        <item x="232"/>
        <item x="262"/>
        <item x="15"/>
        <item x="332"/>
        <item x="107"/>
        <item x="166"/>
        <item x="196"/>
        <item x="98"/>
        <item x="313"/>
        <item x="180"/>
        <item x="329"/>
        <item x="258"/>
        <item x="285"/>
        <item x="234"/>
        <item x="65"/>
        <item x="175"/>
        <item x="177"/>
        <item x="108"/>
        <item x="249"/>
        <item x="251"/>
        <item x="7"/>
        <item x="176"/>
        <item x="25"/>
        <item x="252"/>
        <item x="46"/>
        <item x="82"/>
        <item x="246"/>
        <item x="116"/>
        <item x="36"/>
        <item x="117"/>
        <item x="37"/>
        <item x="226"/>
        <item x="171"/>
        <item x="8"/>
        <item x="6"/>
        <item x="80"/>
        <item x="142"/>
        <item x="268"/>
        <item x="109"/>
        <item x="22"/>
        <item x="84"/>
        <item x="33"/>
        <item x="11"/>
        <item x="20"/>
        <item x="30"/>
        <item x="123"/>
        <item x="261"/>
        <item x="86"/>
        <item x="279"/>
        <item x="42"/>
        <item x="296"/>
        <item x="265"/>
        <item x="199"/>
        <item x="316"/>
        <item x="111"/>
        <item x="273"/>
        <item x="169"/>
        <item x="286"/>
        <item x="153"/>
        <item x="94"/>
        <item x="170"/>
        <item x="186"/>
        <item x="213"/>
        <item x="236"/>
        <item x="5"/>
        <item x="194"/>
        <item x="24"/>
        <item x="233"/>
        <item x="28"/>
        <item x="204"/>
        <item x="134"/>
        <item x="203"/>
        <item x="243"/>
        <item x="327"/>
        <item x="39"/>
        <item x="239"/>
        <item x="167"/>
        <item x="93"/>
        <item x="288"/>
        <item x="178"/>
        <item x="184"/>
        <item x="321"/>
        <item x="235"/>
        <item x="130"/>
        <item x="83"/>
        <item x="257"/>
        <item x="318"/>
        <item x="146"/>
        <item x="90"/>
        <item x="69"/>
        <item x="193"/>
        <item x="219"/>
        <item x="291"/>
        <item x="263"/>
        <item x="10"/>
        <item x="45"/>
        <item x="248"/>
        <item x="157"/>
        <item x="55"/>
        <item x="71"/>
        <item x="162"/>
        <item x="124"/>
        <item x="274"/>
        <item x="4"/>
        <item x="305"/>
        <item x="9"/>
        <item x="295"/>
        <item x="205"/>
        <item x="132"/>
        <item x="13"/>
        <item x="52"/>
        <item t="default"/>
      </items>
    </pivotField>
    <pivotField showAll="0">
      <items count="20">
        <item x="4"/>
        <item x="6"/>
        <item x="1"/>
        <item x="17"/>
        <item x="5"/>
        <item x="11"/>
        <item x="7"/>
        <item x="16"/>
        <item x="13"/>
        <item x="9"/>
        <item x="3"/>
        <item x="2"/>
        <item x="10"/>
        <item x="8"/>
        <item x="12"/>
        <item x="18"/>
        <item x="14"/>
        <item x="0"/>
        <item x="15"/>
        <item t="default"/>
      </items>
    </pivotField>
    <pivotField axis="axisRow" showAll="0">
      <items count="26">
        <item x="8"/>
        <item x="22"/>
        <item x="16"/>
        <item x="12"/>
        <item x="11"/>
        <item x="18"/>
        <item x="1"/>
        <item x="24"/>
        <item x="23"/>
        <item x="6"/>
        <item x="3"/>
        <item x="21"/>
        <item x="20"/>
        <item x="14"/>
        <item x="19"/>
        <item x="17"/>
        <item x="0"/>
        <item x="2"/>
        <item x="9"/>
        <item x="4"/>
        <item x="5"/>
        <item x="10"/>
        <item x="7"/>
        <item x="13"/>
        <item x="15"/>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26">
    <i>
      <x/>
    </i>
    <i>
      <x v="1"/>
    </i>
    <i>
      <x v="2"/>
    </i>
    <i>
      <x v="3"/>
    </i>
    <i>
      <x v="4"/>
    </i>
    <i>
      <x v="5"/>
    </i>
    <i>
      <x v="6"/>
    </i>
    <i>
      <x v="7"/>
    </i>
    <i>
      <x v="8"/>
    </i>
    <i>
      <x v="9"/>
    </i>
    <i>
      <x v="10"/>
    </i>
    <i>
      <x v="11"/>
    </i>
    <i>
      <x v="12"/>
    </i>
    <i>
      <x v="13"/>
    </i>
    <i>
      <x v="14"/>
    </i>
    <i>
      <x v="15"/>
    </i>
    <i>
      <x v="16"/>
    </i>
    <i>
      <x v="17"/>
    </i>
    <i>
      <x v="18"/>
    </i>
    <i>
      <x v="19"/>
    </i>
    <i>
      <x v="20"/>
    </i>
    <i>
      <x v="21"/>
    </i>
    <i>
      <x v="22"/>
    </i>
    <i>
      <x v="23"/>
    </i>
    <i>
      <x v="24"/>
    </i>
    <i t="grand">
      <x/>
    </i>
  </rowItems>
  <colItems count="1">
    <i/>
  </colItems>
  <dataFields count="1">
    <dataField name="Count of Ord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6303216-E2F0-4684-B7BB-1EDE4A16B4CD}" name="PivotTable15"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8">
  <location ref="M66:N70" firstHeaderRow="1" firstDataRow="1" firstDataCol="1"/>
  <pivotFields count="7">
    <pivotField dataField="1" showAll="0">
      <items count="501">
        <item x="61"/>
        <item x="9"/>
        <item x="51"/>
        <item x="324"/>
        <item x="414"/>
        <item x="398"/>
        <item x="442"/>
        <item x="48"/>
        <item x="192"/>
        <item x="80"/>
        <item x="319"/>
        <item x="269"/>
        <item x="34"/>
        <item x="189"/>
        <item x="420"/>
        <item x="372"/>
        <item x="253"/>
        <item x="227"/>
        <item x="230"/>
        <item x="295"/>
        <item x="239"/>
        <item x="177"/>
        <item x="321"/>
        <item x="474"/>
        <item x="155"/>
        <item x="78"/>
        <item x="434"/>
        <item x="450"/>
        <item x="37"/>
        <item x="342"/>
        <item x="397"/>
        <item x="486"/>
        <item x="137"/>
        <item x="218"/>
        <item x="222"/>
        <item x="152"/>
        <item x="371"/>
        <item x="104"/>
        <item x="29"/>
        <item x="248"/>
        <item x="476"/>
        <item x="207"/>
        <item x="84"/>
        <item x="411"/>
        <item x="267"/>
        <item x="482"/>
        <item x="452"/>
        <item x="353"/>
        <item x="471"/>
        <item x="96"/>
        <item x="114"/>
        <item x="289"/>
        <item x="53"/>
        <item x="203"/>
        <item x="216"/>
        <item x="47"/>
        <item x="88"/>
        <item x="472"/>
        <item x="335"/>
        <item x="275"/>
        <item x="281"/>
        <item x="221"/>
        <item x="258"/>
        <item x="117"/>
        <item x="317"/>
        <item x="94"/>
        <item x="87"/>
        <item x="361"/>
        <item x="161"/>
        <item x="147"/>
        <item x="112"/>
        <item x="473"/>
        <item x="343"/>
        <item x="488"/>
        <item x="95"/>
        <item x="65"/>
        <item x="483"/>
        <item x="241"/>
        <item x="412"/>
        <item x="416"/>
        <item x="30"/>
        <item x="173"/>
        <item x="208"/>
        <item x="350"/>
        <item x="179"/>
        <item x="22"/>
        <item x="220"/>
        <item x="231"/>
        <item x="195"/>
        <item x="463"/>
        <item x="136"/>
        <item x="344"/>
        <item x="157"/>
        <item x="316"/>
        <item x="309"/>
        <item x="103"/>
        <item x="59"/>
        <item x="182"/>
        <item x="389"/>
        <item x="355"/>
        <item x="391"/>
        <item x="92"/>
        <item x="280"/>
        <item x="357"/>
        <item x="449"/>
        <item x="464"/>
        <item x="497"/>
        <item x="138"/>
        <item x="454"/>
        <item x="160"/>
        <item x="384"/>
        <item x="296"/>
        <item x="322"/>
        <item x="234"/>
        <item x="213"/>
        <item x="427"/>
        <item x="43"/>
        <item x="199"/>
        <item x="468"/>
        <item x="466"/>
        <item x="299"/>
        <item x="446"/>
        <item x="413"/>
        <item x="314"/>
        <item x="341"/>
        <item x="190"/>
        <item x="242"/>
        <item x="85"/>
        <item x="38"/>
        <item x="72"/>
        <item x="352"/>
        <item x="490"/>
        <item x="451"/>
        <item x="378"/>
        <item x="390"/>
        <item x="465"/>
        <item x="302"/>
        <item x="82"/>
        <item x="351"/>
        <item x="428"/>
        <item x="193"/>
        <item x="495"/>
        <item x="185"/>
        <item x="226"/>
        <item x="145"/>
        <item x="399"/>
        <item x="105"/>
        <item x="282"/>
        <item x="86"/>
        <item x="175"/>
        <item x="178"/>
        <item x="49"/>
        <item x="89"/>
        <item x="246"/>
        <item x="25"/>
        <item x="134"/>
        <item x="4"/>
        <item x="498"/>
        <item x="484"/>
        <item x="244"/>
        <item x="15"/>
        <item x="55"/>
        <item x="429"/>
        <item x="122"/>
        <item x="346"/>
        <item x="283"/>
        <item x="255"/>
        <item x="36"/>
        <item x="229"/>
        <item x="225"/>
        <item x="334"/>
        <item x="70"/>
        <item x="273"/>
        <item x="456"/>
        <item x="443"/>
        <item x="447"/>
        <item x="81"/>
        <item x="42"/>
        <item x="50"/>
        <item x="349"/>
        <item x="121"/>
        <item x="238"/>
        <item x="461"/>
        <item x="492"/>
        <item x="163"/>
        <item x="21"/>
        <item x="172"/>
        <item x="494"/>
        <item x="249"/>
        <item x="453"/>
        <item x="167"/>
        <item x="415"/>
        <item x="46"/>
        <item x="307"/>
        <item x="265"/>
        <item x="158"/>
        <item x="28"/>
        <item x="8"/>
        <item x="291"/>
        <item x="362"/>
        <item x="422"/>
        <item x="156"/>
        <item x="123"/>
        <item x="245"/>
        <item x="374"/>
        <item x="159"/>
        <item x="377"/>
        <item x="286"/>
        <item x="328"/>
        <item x="75"/>
        <item x="358"/>
        <item x="270"/>
        <item x="100"/>
        <item x="198"/>
        <item x="458"/>
        <item x="217"/>
        <item x="127"/>
        <item x="394"/>
        <item x="212"/>
        <item x="368"/>
        <item x="359"/>
        <item x="459"/>
        <item x="17"/>
        <item x="383"/>
        <item x="101"/>
        <item x="153"/>
        <item x="325"/>
        <item x="176"/>
        <item x="232"/>
        <item x="20"/>
        <item x="139"/>
        <item x="184"/>
        <item x="423"/>
        <item x="491"/>
        <item x="326"/>
        <item x="60"/>
        <item x="268"/>
        <item x="91"/>
        <item x="66"/>
        <item x="257"/>
        <item x="477"/>
        <item x="40"/>
        <item x="271"/>
        <item x="401"/>
        <item x="126"/>
        <item x="395"/>
        <item x="151"/>
        <item x="148"/>
        <item x="236"/>
        <item x="98"/>
        <item x="237"/>
        <item x="107"/>
        <item x="18"/>
        <item x="206"/>
        <item x="54"/>
        <item x="140"/>
        <item x="162"/>
        <item x="10"/>
        <item x="135"/>
        <item x="375"/>
        <item x="284"/>
        <item x="19"/>
        <item x="300"/>
        <item x="385"/>
        <item x="404"/>
        <item x="441"/>
        <item x="279"/>
        <item x="76"/>
        <item x="402"/>
        <item x="110"/>
        <item x="370"/>
        <item x="430"/>
        <item x="62"/>
        <item x="360"/>
        <item x="274"/>
        <item x="263"/>
        <item x="73"/>
        <item x="130"/>
        <item x="431"/>
        <item x="379"/>
        <item x="14"/>
        <item x="366"/>
        <item x="337"/>
        <item x="475"/>
        <item x="132"/>
        <item x="186"/>
        <item x="16"/>
        <item x="149"/>
        <item x="369"/>
        <item x="197"/>
        <item x="367"/>
        <item x="347"/>
        <item x="141"/>
        <item x="67"/>
        <item x="219"/>
        <item x="261"/>
        <item x="133"/>
        <item x="99"/>
        <item x="109"/>
        <item x="287"/>
        <item x="320"/>
        <item x="26"/>
        <item x="201"/>
        <item x="106"/>
        <item x="329"/>
        <item x="409"/>
        <item x="467"/>
        <item x="305"/>
        <item x="31"/>
        <item x="32"/>
        <item x="455"/>
        <item x="382"/>
        <item x="381"/>
        <item x="200"/>
        <item x="264"/>
        <item x="406"/>
        <item x="386"/>
        <item x="276"/>
        <item x="35"/>
        <item x="388"/>
        <item x="312"/>
        <item x="440"/>
        <item x="3"/>
        <item x="336"/>
        <item x="68"/>
        <item x="432"/>
        <item x="292"/>
        <item x="363"/>
        <item x="57"/>
        <item x="164"/>
        <item x="417"/>
        <item x="418"/>
        <item x="214"/>
        <item x="380"/>
        <item x="27"/>
        <item x="425"/>
        <item x="79"/>
        <item x="426"/>
        <item x="196"/>
        <item x="435"/>
        <item x="306"/>
        <item x="150"/>
        <item x="39"/>
        <item x="313"/>
        <item x="124"/>
        <item x="338"/>
        <item x="260"/>
        <item x="330"/>
        <item x="332"/>
        <item x="33"/>
        <item x="128"/>
        <item x="93"/>
        <item x="69"/>
        <item x="102"/>
        <item x="6"/>
        <item x="194"/>
        <item x="71"/>
        <item x="228"/>
        <item x="142"/>
        <item x="310"/>
        <item x="205"/>
        <item x="174"/>
        <item x="439"/>
        <item x="64"/>
        <item x="489"/>
        <item x="183"/>
        <item x="5"/>
        <item x="115"/>
        <item x="11"/>
        <item x="129"/>
        <item x="277"/>
        <item x="373"/>
        <item x="2"/>
        <item x="146"/>
        <item x="187"/>
        <item x="297"/>
        <item x="304"/>
        <item x="83"/>
        <item x="169"/>
        <item x="478"/>
        <item x="108"/>
        <item x="493"/>
        <item x="168"/>
        <item x="254"/>
        <item x="293"/>
        <item x="97"/>
        <item x="256"/>
        <item x="408"/>
        <item x="235"/>
        <item x="419"/>
        <item x="301"/>
        <item x="345"/>
        <item x="1"/>
        <item x="294"/>
        <item x="56"/>
        <item x="240"/>
        <item x="13"/>
        <item x="444"/>
        <item x="120"/>
        <item x="143"/>
        <item x="333"/>
        <item x="266"/>
        <item x="24"/>
        <item x="318"/>
        <item x="400"/>
        <item x="58"/>
        <item x="251"/>
        <item x="290"/>
        <item x="262"/>
        <item x="180"/>
        <item x="396"/>
        <item x="479"/>
        <item x="469"/>
        <item x="215"/>
        <item x="356"/>
        <item x="209"/>
        <item x="410"/>
        <item x="243"/>
        <item x="116"/>
        <item x="247"/>
        <item x="364"/>
        <item x="23"/>
        <item x="77"/>
        <item x="315"/>
        <item x="327"/>
        <item x="272"/>
        <item x="438"/>
        <item x="63"/>
        <item x="480"/>
        <item x="259"/>
        <item x="421"/>
        <item x="448"/>
        <item x="118"/>
        <item x="210"/>
        <item x="181"/>
        <item x="233"/>
        <item x="311"/>
        <item x="354"/>
        <item x="405"/>
        <item x="111"/>
        <item x="308"/>
        <item x="457"/>
        <item x="303"/>
        <item x="470"/>
        <item x="224"/>
        <item x="462"/>
        <item x="436"/>
        <item x="45"/>
        <item x="387"/>
        <item x="191"/>
        <item x="52"/>
        <item x="119"/>
        <item x="165"/>
        <item x="170"/>
        <item x="0"/>
        <item x="211"/>
        <item x="131"/>
        <item x="285"/>
        <item x="485"/>
        <item x="223"/>
        <item x="90"/>
        <item x="445"/>
        <item x="278"/>
        <item x="365"/>
        <item x="339"/>
        <item x="403"/>
        <item x="74"/>
        <item x="298"/>
        <item x="437"/>
        <item x="166"/>
        <item x="481"/>
        <item x="250"/>
        <item x="41"/>
        <item x="433"/>
        <item x="460"/>
        <item x="204"/>
        <item x="424"/>
        <item x="171"/>
        <item x="487"/>
        <item x="376"/>
        <item x="154"/>
        <item x="393"/>
        <item x="340"/>
        <item x="288"/>
        <item x="44"/>
        <item x="125"/>
        <item x="252"/>
        <item x="496"/>
        <item x="348"/>
        <item x="407"/>
        <item x="323"/>
        <item x="392"/>
        <item x="7"/>
        <item x="331"/>
        <item x="499"/>
        <item x="202"/>
        <item x="144"/>
        <item x="188"/>
        <item x="12"/>
        <item x="113"/>
        <item t="default"/>
      </items>
    </pivotField>
    <pivotField axis="axisRow" numFmtId="14" showAll="0">
      <items count="308">
        <item x="242"/>
        <item x="54"/>
        <item x="137"/>
        <item x="26"/>
        <item x="74"/>
        <item x="277"/>
        <item x="212"/>
        <item x="130"/>
        <item x="38"/>
        <item x="215"/>
        <item x="112"/>
        <item x="227"/>
        <item x="32"/>
        <item x="65"/>
        <item x="6"/>
        <item x="157"/>
        <item x="67"/>
        <item x="143"/>
        <item x="60"/>
        <item x="5"/>
        <item x="115"/>
        <item x="248"/>
        <item x="2"/>
        <item x="127"/>
        <item x="78"/>
        <item x="97"/>
        <item x="304"/>
        <item x="140"/>
        <item x="89"/>
        <item x="175"/>
        <item x="272"/>
        <item x="1"/>
        <item x="12"/>
        <item x="108"/>
        <item x="124"/>
        <item x="223"/>
        <item x="23"/>
        <item x="55"/>
        <item x="191"/>
        <item x="147"/>
        <item x="263"/>
        <item x="166"/>
        <item x="163"/>
        <item x="104"/>
        <item x="182"/>
        <item x="243"/>
        <item x="22"/>
        <item x="72"/>
        <item x="59"/>
        <item x="189"/>
        <item x="106"/>
        <item x="148"/>
        <item x="237"/>
        <item x="267"/>
        <item x="100"/>
        <item x="213"/>
        <item x="290"/>
        <item x="210"/>
        <item x="294"/>
        <item x="170"/>
        <item x="44"/>
        <item x="256"/>
        <item x="155"/>
        <item x="51"/>
        <item x="107"/>
        <item x="138"/>
        <item x="0"/>
        <item x="202"/>
        <item x="301"/>
        <item x="169"/>
        <item x="84"/>
        <item x="197"/>
        <item x="69"/>
        <item x="278"/>
        <item x="139"/>
        <item x="298"/>
        <item x="184"/>
        <item x="40"/>
        <item x="132"/>
        <item x="261"/>
        <item x="228"/>
        <item x="205"/>
        <item x="43"/>
        <item x="7"/>
        <item x="125"/>
        <item x="152"/>
        <item x="11"/>
        <item x="102"/>
        <item x="9"/>
        <item x="50"/>
        <item x="271"/>
        <item x="264"/>
        <item x="47"/>
        <item x="75"/>
        <item x="218"/>
        <item x="33"/>
        <item x="153"/>
        <item x="247"/>
        <item x="185"/>
        <item x="172"/>
        <item x="178"/>
        <item x="145"/>
        <item x="73"/>
        <item x="36"/>
        <item x="302"/>
        <item x="94"/>
        <item x="28"/>
        <item x="161"/>
        <item x="79"/>
        <item x="269"/>
        <item x="193"/>
        <item x="286"/>
        <item x="236"/>
        <item x="295"/>
        <item x="88"/>
        <item x="103"/>
        <item x="52"/>
        <item x="160"/>
        <item x="46"/>
        <item x="82"/>
        <item x="296"/>
        <item x="224"/>
        <item x="195"/>
        <item x="168"/>
        <item x="188"/>
        <item x="105"/>
        <item x="217"/>
        <item x="86"/>
        <item x="81"/>
        <item x="241"/>
        <item x="128"/>
        <item x="101"/>
        <item x="230"/>
        <item x="87"/>
        <item x="61"/>
        <item x="299"/>
        <item x="179"/>
        <item x="29"/>
        <item x="142"/>
        <item x="162"/>
        <item x="234"/>
        <item x="146"/>
        <item x="21"/>
        <item x="158"/>
        <item x="291"/>
        <item x="120"/>
        <item x="231"/>
        <item x="133"/>
        <item x="93"/>
        <item x="56"/>
        <item x="149"/>
        <item x="258"/>
        <item x="238"/>
        <item x="260"/>
        <item x="85"/>
        <item x="199"/>
        <item x="239"/>
        <item x="284"/>
        <item x="121"/>
        <item x="135"/>
        <item x="254"/>
        <item x="207"/>
        <item x="219"/>
        <item x="174"/>
        <item x="165"/>
        <item x="273"/>
        <item x="42"/>
        <item x="293"/>
        <item x="208"/>
        <item x="282"/>
        <item x="270"/>
        <item x="216"/>
        <item x="229"/>
        <item x="154"/>
        <item x="37"/>
        <item x="235"/>
        <item x="303"/>
        <item x="285"/>
        <item x="250"/>
        <item x="259"/>
        <item x="292"/>
        <item x="209"/>
        <item x="77"/>
        <item x="156"/>
        <item x="151"/>
        <item x="171"/>
        <item x="126"/>
        <item x="265"/>
        <item x="95"/>
        <item x="200"/>
        <item x="80"/>
        <item x="48"/>
        <item x="83"/>
        <item x="181"/>
        <item x="24"/>
        <item x="118"/>
        <item x="4"/>
        <item x="306"/>
        <item x="300"/>
        <item x="180"/>
        <item x="14"/>
        <item x="53"/>
        <item x="274"/>
        <item x="110"/>
        <item x="232"/>
        <item x="201"/>
        <item x="186"/>
        <item x="35"/>
        <item x="66"/>
        <item x="194"/>
        <item x="289"/>
        <item x="281"/>
        <item x="283"/>
        <item x="76"/>
        <item x="41"/>
        <item x="49"/>
        <item x="233"/>
        <item x="109"/>
        <item x="136"/>
        <item x="20"/>
        <item x="141"/>
        <item x="305"/>
        <item x="183"/>
        <item x="287"/>
        <item x="45"/>
        <item x="27"/>
        <item x="8"/>
        <item x="111"/>
        <item x="134"/>
        <item x="249"/>
        <item x="203"/>
        <item x="221"/>
        <item x="70"/>
        <item x="167"/>
        <item x="114"/>
        <item x="262"/>
        <item x="164"/>
        <item x="240"/>
        <item x="16"/>
        <item x="253"/>
        <item x="92"/>
        <item x="131"/>
        <item x="220"/>
        <item x="144"/>
        <item x="173"/>
        <item x="19"/>
        <item x="122"/>
        <item x="150"/>
        <item x="57"/>
        <item x="62"/>
        <item x="187"/>
        <item x="297"/>
        <item x="39"/>
        <item x="113"/>
        <item x="176"/>
        <item x="90"/>
        <item x="177"/>
        <item x="96"/>
        <item x="17"/>
        <item x="123"/>
        <item x="10"/>
        <item x="119"/>
        <item x="18"/>
        <item x="280"/>
        <item x="198"/>
        <item x="71"/>
        <item x="266"/>
        <item x="99"/>
        <item x="246"/>
        <item x="275"/>
        <item x="58"/>
        <item x="68"/>
        <item x="13"/>
        <item x="244"/>
        <item x="226"/>
        <item x="116"/>
        <item x="15"/>
        <item x="129"/>
        <item x="245"/>
        <item x="63"/>
        <item x="190"/>
        <item x="117"/>
        <item x="91"/>
        <item x="98"/>
        <item x="204"/>
        <item x="25"/>
        <item x="222"/>
        <item x="211"/>
        <item x="30"/>
        <item x="31"/>
        <item x="288"/>
        <item x="252"/>
        <item x="251"/>
        <item x="159"/>
        <item x="192"/>
        <item x="268"/>
        <item x="255"/>
        <item x="196"/>
        <item x="34"/>
        <item x="257"/>
        <item x="214"/>
        <item x="279"/>
        <item x="3"/>
        <item x="225"/>
        <item x="64"/>
        <item x="276"/>
        <item x="206"/>
        <item t="default"/>
      </items>
    </pivotField>
    <pivotField showAll="0">
      <items count="337">
        <item x="314"/>
        <item x="44"/>
        <item x="18"/>
        <item x="215"/>
        <item x="189"/>
        <item x="50"/>
        <item x="293"/>
        <item x="87"/>
        <item x="224"/>
        <item x="74"/>
        <item x="216"/>
        <item x="96"/>
        <item x="105"/>
        <item x="119"/>
        <item x="326"/>
        <item x="260"/>
        <item x="322"/>
        <item x="307"/>
        <item x="195"/>
        <item x="155"/>
        <item x="78"/>
        <item x="152"/>
        <item x="120"/>
        <item x="165"/>
        <item x="17"/>
        <item x="95"/>
        <item x="138"/>
        <item x="331"/>
        <item x="227"/>
        <item x="128"/>
        <item x="253"/>
        <item x="218"/>
        <item x="79"/>
        <item x="73"/>
        <item x="266"/>
        <item x="127"/>
        <item x="309"/>
        <item x="330"/>
        <item x="51"/>
        <item x="81"/>
        <item x="182"/>
        <item x="275"/>
        <item x="185"/>
        <item x="217"/>
        <item x="283"/>
        <item x="280"/>
        <item x="54"/>
        <item x="254"/>
        <item x="56"/>
        <item x="290"/>
        <item x="299"/>
        <item x="197"/>
        <item x="271"/>
        <item x="328"/>
        <item x="335"/>
        <item x="145"/>
        <item x="104"/>
        <item x="141"/>
        <item x="140"/>
        <item x="294"/>
        <item x="75"/>
        <item x="192"/>
        <item x="161"/>
        <item x="57"/>
        <item x="244"/>
        <item x="242"/>
        <item x="27"/>
        <item x="12"/>
        <item x="202"/>
        <item x="297"/>
        <item x="156"/>
        <item x="61"/>
        <item x="126"/>
        <item x="237"/>
        <item x="200"/>
        <item x="118"/>
        <item x="85"/>
        <item x="259"/>
        <item x="68"/>
        <item x="190"/>
        <item x="181"/>
        <item x="135"/>
        <item x="269"/>
        <item x="312"/>
        <item x="334"/>
        <item x="304"/>
        <item x="172"/>
        <item x="221"/>
        <item x="163"/>
        <item x="210"/>
        <item x="58"/>
        <item x="106"/>
        <item x="308"/>
        <item x="212"/>
        <item x="49"/>
        <item x="16"/>
        <item x="277"/>
        <item x="222"/>
        <item x="53"/>
        <item x="3"/>
        <item x="270"/>
        <item x="320"/>
        <item x="0"/>
        <item x="92"/>
        <item x="154"/>
        <item x="168"/>
        <item x="333"/>
        <item x="34"/>
        <item x="21"/>
        <item x="100"/>
        <item x="88"/>
        <item x="310"/>
        <item x="264"/>
        <item x="23"/>
        <item x="47"/>
        <item x="231"/>
        <item x="29"/>
        <item x="281"/>
        <item x="324"/>
        <item x="113"/>
        <item x="272"/>
        <item x="102"/>
        <item x="187"/>
        <item x="164"/>
        <item x="220"/>
        <item x="209"/>
        <item x="211"/>
        <item x="89"/>
        <item x="151"/>
        <item x="144"/>
        <item x="158"/>
        <item x="77"/>
        <item x="121"/>
        <item x="201"/>
        <item x="300"/>
        <item x="282"/>
        <item x="64"/>
        <item x="207"/>
        <item x="188"/>
        <item x="14"/>
        <item x="26"/>
        <item x="2"/>
        <item x="1"/>
        <item x="35"/>
        <item x="66"/>
        <item x="284"/>
        <item x="174"/>
        <item x="228"/>
        <item x="317"/>
        <item x="125"/>
        <item x="198"/>
        <item x="59"/>
        <item x="40"/>
        <item x="229"/>
        <item x="267"/>
        <item x="143"/>
        <item x="136"/>
        <item x="256"/>
        <item x="110"/>
        <item x="99"/>
        <item x="31"/>
        <item x="139"/>
        <item x="149"/>
        <item x="63"/>
        <item x="241"/>
        <item x="311"/>
        <item x="115"/>
        <item x="208"/>
        <item x="298"/>
        <item x="72"/>
        <item x="245"/>
        <item x="122"/>
        <item x="323"/>
        <item x="238"/>
        <item x="160"/>
        <item x="32"/>
        <item x="173"/>
        <item x="179"/>
        <item x="301"/>
        <item x="148"/>
        <item x="292"/>
        <item x="150"/>
        <item x="129"/>
        <item x="214"/>
        <item x="91"/>
        <item x="303"/>
        <item x="70"/>
        <item x="223"/>
        <item x="60"/>
        <item x="206"/>
        <item x="289"/>
        <item x="159"/>
        <item x="76"/>
        <item x="48"/>
        <item x="133"/>
        <item x="287"/>
        <item x="101"/>
        <item x="41"/>
        <item x="247"/>
        <item x="319"/>
        <item x="315"/>
        <item x="131"/>
        <item x="137"/>
        <item x="225"/>
        <item x="19"/>
        <item x="38"/>
        <item x="230"/>
        <item x="250"/>
        <item x="97"/>
        <item x="112"/>
        <item x="62"/>
        <item x="191"/>
        <item x="306"/>
        <item x="103"/>
        <item x="278"/>
        <item x="43"/>
        <item x="147"/>
        <item x="325"/>
        <item x="276"/>
        <item x="240"/>
        <item x="183"/>
        <item x="302"/>
        <item x="255"/>
        <item x="114"/>
        <item x="67"/>
        <item x="232"/>
        <item x="262"/>
        <item x="15"/>
        <item x="332"/>
        <item x="107"/>
        <item x="166"/>
        <item x="196"/>
        <item x="98"/>
        <item x="313"/>
        <item x="180"/>
        <item x="329"/>
        <item x="258"/>
        <item x="285"/>
        <item x="234"/>
        <item x="65"/>
        <item x="175"/>
        <item x="177"/>
        <item x="108"/>
        <item x="249"/>
        <item x="251"/>
        <item x="7"/>
        <item x="176"/>
        <item x="25"/>
        <item x="252"/>
        <item x="46"/>
        <item x="82"/>
        <item x="246"/>
        <item x="116"/>
        <item x="36"/>
        <item x="117"/>
        <item x="37"/>
        <item x="226"/>
        <item x="171"/>
        <item x="8"/>
        <item x="6"/>
        <item x="80"/>
        <item x="142"/>
        <item x="268"/>
        <item x="109"/>
        <item x="22"/>
        <item x="84"/>
        <item x="33"/>
        <item x="11"/>
        <item x="20"/>
        <item x="30"/>
        <item x="123"/>
        <item x="261"/>
        <item x="86"/>
        <item x="279"/>
        <item x="42"/>
        <item x="296"/>
        <item x="265"/>
        <item x="199"/>
        <item x="316"/>
        <item x="111"/>
        <item x="273"/>
        <item x="169"/>
        <item x="286"/>
        <item x="153"/>
        <item x="94"/>
        <item x="170"/>
        <item x="186"/>
        <item x="213"/>
        <item x="236"/>
        <item x="5"/>
        <item x="194"/>
        <item x="24"/>
        <item x="233"/>
        <item x="28"/>
        <item x="204"/>
        <item x="134"/>
        <item x="203"/>
        <item x="243"/>
        <item x="327"/>
        <item x="39"/>
        <item x="239"/>
        <item x="167"/>
        <item x="93"/>
        <item x="288"/>
        <item x="178"/>
        <item x="184"/>
        <item x="321"/>
        <item x="235"/>
        <item x="130"/>
        <item x="83"/>
        <item x="257"/>
        <item x="318"/>
        <item x="146"/>
        <item x="90"/>
        <item x="69"/>
        <item x="193"/>
        <item x="219"/>
        <item x="291"/>
        <item x="263"/>
        <item x="10"/>
        <item x="45"/>
        <item x="248"/>
        <item x="157"/>
        <item x="55"/>
        <item x="71"/>
        <item x="162"/>
        <item x="124"/>
        <item x="274"/>
        <item x="4"/>
        <item x="305"/>
        <item x="9"/>
        <item x="295"/>
        <item x="205"/>
        <item x="132"/>
        <item x="13"/>
        <item x="52"/>
        <item t="default"/>
      </items>
    </pivotField>
    <pivotField showAll="0">
      <items count="20">
        <item x="4"/>
        <item x="6"/>
        <item x="1"/>
        <item x="17"/>
        <item x="5"/>
        <item x="11"/>
        <item x="7"/>
        <item x="16"/>
        <item x="13"/>
        <item x="9"/>
        <item x="3"/>
        <item x="2"/>
        <item x="10"/>
        <item x="8"/>
        <item x="12"/>
        <item x="18"/>
        <item x="14"/>
        <item x="0"/>
        <item x="15"/>
        <item t="default"/>
      </items>
    </pivotField>
    <pivotField showAll="0">
      <items count="26">
        <item x="8"/>
        <item x="22"/>
        <item x="16"/>
        <item x="12"/>
        <item x="11"/>
        <item x="18"/>
        <item x="1"/>
        <item x="24"/>
        <item x="23"/>
        <item x="6"/>
        <item x="3"/>
        <item x="21"/>
        <item x="20"/>
        <item x="14"/>
        <item x="19"/>
        <item x="17"/>
        <item x="0"/>
        <item x="2"/>
        <item x="9"/>
        <item x="4"/>
        <item x="5"/>
        <item x="10"/>
        <item x="7"/>
        <item x="13"/>
        <item x="15"/>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measureFilter="1">
      <items count="15">
        <item sd="0" x="0"/>
        <item sd="0" x="1"/>
        <item sd="0" x="2"/>
        <item sd="0" x="3"/>
        <item sd="0" x="4"/>
        <item sd="0" x="5"/>
        <item sd="0" x="6"/>
        <item sd="0" x="7"/>
        <item sd="0" x="8"/>
        <item sd="0" x="9"/>
        <item sd="0" x="10"/>
        <item sd="0" x="11"/>
        <item sd="0" x="12"/>
        <item sd="0" x="13"/>
        <item t="default"/>
      </items>
    </pivotField>
  </pivotFields>
  <rowFields count="2">
    <field x="6"/>
    <field x="1"/>
  </rowFields>
  <rowItems count="4">
    <i>
      <x v="1"/>
    </i>
    <i>
      <x v="2"/>
    </i>
    <i>
      <x v="3"/>
    </i>
    <i t="grand">
      <x/>
    </i>
  </rowItems>
  <colItems count="1">
    <i/>
  </colItems>
  <dataFields count="1">
    <dataField name="Count of Order ID" fld="0" subtotal="count" baseField="0" baseItem="0"/>
  </dataFields>
  <chartFormats count="10">
    <chartFormat chart="5" format="0"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0"/>
          </reference>
        </references>
      </pivotArea>
    </chartFormat>
    <chartFormat chart="7" format="6">
      <pivotArea type="data" outline="0" fieldPosition="0">
        <references count="2">
          <reference field="4294967294" count="1" selected="0">
            <x v="0"/>
          </reference>
          <reference field="6" count="1" selected="0">
            <x v="1"/>
          </reference>
        </references>
      </pivotArea>
    </chartFormat>
    <chartFormat chart="7" format="7">
      <pivotArea type="data" outline="0" fieldPosition="0">
        <references count="2">
          <reference field="4294967294" count="1" selected="0">
            <x v="0"/>
          </reference>
          <reference field="6" count="1" selected="0">
            <x v="2"/>
          </reference>
        </references>
      </pivotArea>
    </chartFormat>
    <chartFormat chart="7" format="8">
      <pivotArea type="data" outline="0" fieldPosition="0">
        <references count="2">
          <reference field="4294967294" count="1" selected="0">
            <x v="0"/>
          </reference>
          <reference field="6" count="1" selected="0">
            <x v="3"/>
          </reference>
        </references>
      </pivotArea>
    </chartFormat>
    <chartFormat chart="14" format="0" series="1">
      <pivotArea type="data" outline="0" fieldPosition="0">
        <references count="1">
          <reference field="4294967294" count="1" selected="0">
            <x v="0"/>
          </reference>
        </references>
      </pivotArea>
    </chartFormat>
    <chartFormat chart="16" format="5" series="1">
      <pivotArea type="data" outline="0" fieldPosition="0">
        <references count="1">
          <reference field="4294967294" count="1" selected="0">
            <x v="0"/>
          </reference>
        </references>
      </pivotArea>
    </chartFormat>
    <chartFormat chart="16" format="6">
      <pivotArea type="data" outline="0" fieldPosition="0">
        <references count="2">
          <reference field="4294967294" count="1" selected="0">
            <x v="0"/>
          </reference>
          <reference field="6" count="1" selected="0">
            <x v="1"/>
          </reference>
        </references>
      </pivotArea>
    </chartFormat>
    <chartFormat chart="16" format="7">
      <pivotArea type="data" outline="0" fieldPosition="0">
        <references count="2">
          <reference field="4294967294" count="1" selected="0">
            <x v="0"/>
          </reference>
          <reference field="6" count="1" selected="0">
            <x v="2"/>
          </reference>
        </references>
      </pivotArea>
    </chartFormat>
    <chartFormat chart="16" format="8">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filters count="1">
    <filter fld="6" type="count" evalOrder="-1" id="2"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9038AD0-F369-4B42-8D9F-C5A1F3872D1F}" name="PivotTable19"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4">
  <location ref="A38:B58" firstHeaderRow="1" firstDataRow="1" firstDataCol="1"/>
  <pivotFields count="7">
    <pivotField dataField="1" showAll="0">
      <items count="501">
        <item x="61"/>
        <item x="9"/>
        <item x="51"/>
        <item x="324"/>
        <item x="414"/>
        <item x="398"/>
        <item x="442"/>
        <item x="48"/>
        <item x="192"/>
        <item x="80"/>
        <item x="319"/>
        <item x="269"/>
        <item x="34"/>
        <item x="189"/>
        <item x="420"/>
        <item x="372"/>
        <item x="253"/>
        <item x="227"/>
        <item x="230"/>
        <item x="295"/>
        <item x="239"/>
        <item x="177"/>
        <item x="321"/>
        <item x="474"/>
        <item x="155"/>
        <item x="78"/>
        <item x="434"/>
        <item x="450"/>
        <item x="37"/>
        <item x="342"/>
        <item x="397"/>
        <item x="486"/>
        <item x="137"/>
        <item x="218"/>
        <item x="222"/>
        <item x="152"/>
        <item x="371"/>
        <item x="104"/>
        <item x="29"/>
        <item x="248"/>
        <item x="476"/>
        <item x="207"/>
        <item x="84"/>
        <item x="411"/>
        <item x="267"/>
        <item x="482"/>
        <item x="452"/>
        <item x="353"/>
        <item x="471"/>
        <item x="96"/>
        <item x="114"/>
        <item x="289"/>
        <item x="53"/>
        <item x="203"/>
        <item x="216"/>
        <item x="47"/>
        <item x="88"/>
        <item x="472"/>
        <item x="335"/>
        <item x="275"/>
        <item x="281"/>
        <item x="221"/>
        <item x="258"/>
        <item x="117"/>
        <item x="317"/>
        <item x="94"/>
        <item x="87"/>
        <item x="361"/>
        <item x="161"/>
        <item x="147"/>
        <item x="112"/>
        <item x="473"/>
        <item x="343"/>
        <item x="488"/>
        <item x="95"/>
        <item x="65"/>
        <item x="483"/>
        <item x="241"/>
        <item x="412"/>
        <item x="416"/>
        <item x="30"/>
        <item x="173"/>
        <item x="208"/>
        <item x="350"/>
        <item x="179"/>
        <item x="22"/>
        <item x="220"/>
        <item x="231"/>
        <item x="195"/>
        <item x="463"/>
        <item x="136"/>
        <item x="344"/>
        <item x="157"/>
        <item x="316"/>
        <item x="309"/>
        <item x="103"/>
        <item x="59"/>
        <item x="182"/>
        <item x="389"/>
        <item x="355"/>
        <item x="391"/>
        <item x="92"/>
        <item x="280"/>
        <item x="357"/>
        <item x="449"/>
        <item x="464"/>
        <item x="497"/>
        <item x="138"/>
        <item x="454"/>
        <item x="160"/>
        <item x="384"/>
        <item x="296"/>
        <item x="322"/>
        <item x="234"/>
        <item x="213"/>
        <item x="427"/>
        <item x="43"/>
        <item x="199"/>
        <item x="468"/>
        <item x="466"/>
        <item x="299"/>
        <item x="446"/>
        <item x="413"/>
        <item x="314"/>
        <item x="341"/>
        <item x="190"/>
        <item x="242"/>
        <item x="85"/>
        <item x="38"/>
        <item x="72"/>
        <item x="352"/>
        <item x="490"/>
        <item x="451"/>
        <item x="378"/>
        <item x="390"/>
        <item x="465"/>
        <item x="302"/>
        <item x="82"/>
        <item x="351"/>
        <item x="428"/>
        <item x="193"/>
        <item x="495"/>
        <item x="185"/>
        <item x="226"/>
        <item x="145"/>
        <item x="399"/>
        <item x="105"/>
        <item x="282"/>
        <item x="86"/>
        <item x="175"/>
        <item x="178"/>
        <item x="49"/>
        <item x="89"/>
        <item x="246"/>
        <item x="25"/>
        <item x="134"/>
        <item x="4"/>
        <item x="498"/>
        <item x="484"/>
        <item x="244"/>
        <item x="15"/>
        <item x="55"/>
        <item x="429"/>
        <item x="122"/>
        <item x="346"/>
        <item x="283"/>
        <item x="255"/>
        <item x="36"/>
        <item x="229"/>
        <item x="225"/>
        <item x="334"/>
        <item x="70"/>
        <item x="273"/>
        <item x="456"/>
        <item x="443"/>
        <item x="447"/>
        <item x="81"/>
        <item x="42"/>
        <item x="50"/>
        <item x="349"/>
        <item x="121"/>
        <item x="238"/>
        <item x="461"/>
        <item x="492"/>
        <item x="163"/>
        <item x="21"/>
        <item x="172"/>
        <item x="494"/>
        <item x="249"/>
        <item x="453"/>
        <item x="167"/>
        <item x="415"/>
        <item x="46"/>
        <item x="307"/>
        <item x="265"/>
        <item x="158"/>
        <item x="28"/>
        <item x="8"/>
        <item x="291"/>
        <item x="362"/>
        <item x="422"/>
        <item x="156"/>
        <item x="123"/>
        <item x="245"/>
        <item x="374"/>
        <item x="159"/>
        <item x="377"/>
        <item x="286"/>
        <item x="328"/>
        <item x="75"/>
        <item x="358"/>
        <item x="270"/>
        <item x="100"/>
        <item x="198"/>
        <item x="458"/>
        <item x="217"/>
        <item x="127"/>
        <item x="394"/>
        <item x="212"/>
        <item x="368"/>
        <item x="359"/>
        <item x="459"/>
        <item x="17"/>
        <item x="383"/>
        <item x="101"/>
        <item x="153"/>
        <item x="325"/>
        <item x="176"/>
        <item x="232"/>
        <item x="20"/>
        <item x="139"/>
        <item x="184"/>
        <item x="423"/>
        <item x="491"/>
        <item x="326"/>
        <item x="60"/>
        <item x="268"/>
        <item x="91"/>
        <item x="66"/>
        <item x="257"/>
        <item x="477"/>
        <item x="40"/>
        <item x="271"/>
        <item x="401"/>
        <item x="126"/>
        <item x="395"/>
        <item x="151"/>
        <item x="148"/>
        <item x="236"/>
        <item x="98"/>
        <item x="237"/>
        <item x="107"/>
        <item x="18"/>
        <item x="206"/>
        <item x="54"/>
        <item x="140"/>
        <item x="162"/>
        <item x="10"/>
        <item x="135"/>
        <item x="375"/>
        <item x="284"/>
        <item x="19"/>
        <item x="300"/>
        <item x="385"/>
        <item x="404"/>
        <item x="441"/>
        <item x="279"/>
        <item x="76"/>
        <item x="402"/>
        <item x="110"/>
        <item x="370"/>
        <item x="430"/>
        <item x="62"/>
        <item x="360"/>
        <item x="274"/>
        <item x="263"/>
        <item x="73"/>
        <item x="130"/>
        <item x="431"/>
        <item x="379"/>
        <item x="14"/>
        <item x="366"/>
        <item x="337"/>
        <item x="475"/>
        <item x="132"/>
        <item x="186"/>
        <item x="16"/>
        <item x="149"/>
        <item x="369"/>
        <item x="197"/>
        <item x="367"/>
        <item x="347"/>
        <item x="141"/>
        <item x="67"/>
        <item x="219"/>
        <item x="261"/>
        <item x="133"/>
        <item x="99"/>
        <item x="109"/>
        <item x="287"/>
        <item x="320"/>
        <item x="26"/>
        <item x="201"/>
        <item x="106"/>
        <item x="329"/>
        <item x="409"/>
        <item x="467"/>
        <item x="305"/>
        <item x="31"/>
        <item x="32"/>
        <item x="455"/>
        <item x="382"/>
        <item x="381"/>
        <item x="200"/>
        <item x="264"/>
        <item x="406"/>
        <item x="386"/>
        <item x="276"/>
        <item x="35"/>
        <item x="388"/>
        <item x="312"/>
        <item x="440"/>
        <item x="3"/>
        <item x="336"/>
        <item x="68"/>
        <item x="432"/>
        <item x="292"/>
        <item x="363"/>
        <item x="57"/>
        <item x="164"/>
        <item x="417"/>
        <item x="418"/>
        <item x="214"/>
        <item x="380"/>
        <item x="27"/>
        <item x="425"/>
        <item x="79"/>
        <item x="426"/>
        <item x="196"/>
        <item x="435"/>
        <item x="306"/>
        <item x="150"/>
        <item x="39"/>
        <item x="313"/>
        <item x="124"/>
        <item x="338"/>
        <item x="260"/>
        <item x="330"/>
        <item x="332"/>
        <item x="33"/>
        <item x="128"/>
        <item x="93"/>
        <item x="69"/>
        <item x="102"/>
        <item x="6"/>
        <item x="194"/>
        <item x="71"/>
        <item x="228"/>
        <item x="142"/>
        <item x="310"/>
        <item x="205"/>
        <item x="174"/>
        <item x="439"/>
        <item x="64"/>
        <item x="489"/>
        <item x="183"/>
        <item x="5"/>
        <item x="115"/>
        <item x="11"/>
        <item x="129"/>
        <item x="277"/>
        <item x="373"/>
        <item x="2"/>
        <item x="146"/>
        <item x="187"/>
        <item x="297"/>
        <item x="304"/>
        <item x="83"/>
        <item x="169"/>
        <item x="478"/>
        <item x="108"/>
        <item x="493"/>
        <item x="168"/>
        <item x="254"/>
        <item x="293"/>
        <item x="97"/>
        <item x="256"/>
        <item x="408"/>
        <item x="235"/>
        <item x="419"/>
        <item x="301"/>
        <item x="345"/>
        <item x="1"/>
        <item x="294"/>
        <item x="56"/>
        <item x="240"/>
        <item x="13"/>
        <item x="444"/>
        <item x="120"/>
        <item x="143"/>
        <item x="333"/>
        <item x="266"/>
        <item x="24"/>
        <item x="318"/>
        <item x="400"/>
        <item x="58"/>
        <item x="251"/>
        <item x="290"/>
        <item x="262"/>
        <item x="180"/>
        <item x="396"/>
        <item x="479"/>
        <item x="469"/>
        <item x="215"/>
        <item x="356"/>
        <item x="209"/>
        <item x="410"/>
        <item x="243"/>
        <item x="116"/>
        <item x="247"/>
        <item x="364"/>
        <item x="23"/>
        <item x="77"/>
        <item x="315"/>
        <item x="327"/>
        <item x="272"/>
        <item x="438"/>
        <item x="63"/>
        <item x="480"/>
        <item x="259"/>
        <item x="421"/>
        <item x="448"/>
        <item x="118"/>
        <item x="210"/>
        <item x="181"/>
        <item x="233"/>
        <item x="311"/>
        <item x="354"/>
        <item x="405"/>
        <item x="111"/>
        <item x="308"/>
        <item x="457"/>
        <item x="303"/>
        <item x="470"/>
        <item x="224"/>
        <item x="462"/>
        <item x="436"/>
        <item x="45"/>
        <item x="387"/>
        <item x="191"/>
        <item x="52"/>
        <item x="119"/>
        <item x="165"/>
        <item x="170"/>
        <item x="0"/>
        <item x="211"/>
        <item x="131"/>
        <item x="285"/>
        <item x="485"/>
        <item x="223"/>
        <item x="90"/>
        <item x="445"/>
        <item x="278"/>
        <item x="365"/>
        <item x="339"/>
        <item x="403"/>
        <item x="74"/>
        <item x="298"/>
        <item x="437"/>
        <item x="166"/>
        <item x="481"/>
        <item x="250"/>
        <item x="41"/>
        <item x="433"/>
        <item x="460"/>
        <item x="204"/>
        <item x="424"/>
        <item x="171"/>
        <item x="487"/>
        <item x="376"/>
        <item x="154"/>
        <item x="393"/>
        <item x="340"/>
        <item x="288"/>
        <item x="44"/>
        <item x="125"/>
        <item x="252"/>
        <item x="496"/>
        <item x="348"/>
        <item x="407"/>
        <item x="323"/>
        <item x="392"/>
        <item x="7"/>
        <item x="331"/>
        <item x="499"/>
        <item x="202"/>
        <item x="144"/>
        <item x="188"/>
        <item x="12"/>
        <item x="113"/>
        <item t="default"/>
      </items>
    </pivotField>
    <pivotField numFmtId="14" showAll="0">
      <items count="308">
        <item x="242"/>
        <item x="54"/>
        <item x="137"/>
        <item x="26"/>
        <item x="74"/>
        <item x="277"/>
        <item x="212"/>
        <item x="130"/>
        <item x="38"/>
        <item x="215"/>
        <item x="112"/>
        <item x="227"/>
        <item x="32"/>
        <item x="65"/>
        <item x="6"/>
        <item x="157"/>
        <item x="67"/>
        <item x="143"/>
        <item x="60"/>
        <item x="5"/>
        <item x="115"/>
        <item x="248"/>
        <item x="2"/>
        <item x="127"/>
        <item x="78"/>
        <item x="97"/>
        <item x="304"/>
        <item x="140"/>
        <item x="89"/>
        <item x="175"/>
        <item x="272"/>
        <item x="1"/>
        <item x="12"/>
        <item x="108"/>
        <item x="124"/>
        <item x="223"/>
        <item x="23"/>
        <item x="55"/>
        <item x="191"/>
        <item x="147"/>
        <item x="263"/>
        <item x="166"/>
        <item x="163"/>
        <item x="104"/>
        <item x="182"/>
        <item x="243"/>
        <item x="22"/>
        <item x="72"/>
        <item x="59"/>
        <item x="189"/>
        <item x="106"/>
        <item x="148"/>
        <item x="237"/>
        <item x="267"/>
        <item x="100"/>
        <item x="213"/>
        <item x="290"/>
        <item x="210"/>
        <item x="294"/>
        <item x="170"/>
        <item x="44"/>
        <item x="256"/>
        <item x="155"/>
        <item x="51"/>
        <item x="107"/>
        <item x="138"/>
        <item x="0"/>
        <item x="202"/>
        <item x="301"/>
        <item x="169"/>
        <item x="84"/>
        <item x="197"/>
        <item x="69"/>
        <item x="278"/>
        <item x="139"/>
        <item x="298"/>
        <item x="184"/>
        <item x="40"/>
        <item x="132"/>
        <item x="261"/>
        <item x="228"/>
        <item x="205"/>
        <item x="43"/>
        <item x="7"/>
        <item x="125"/>
        <item x="152"/>
        <item x="11"/>
        <item x="102"/>
        <item x="9"/>
        <item x="50"/>
        <item x="271"/>
        <item x="264"/>
        <item x="47"/>
        <item x="75"/>
        <item x="218"/>
        <item x="33"/>
        <item x="153"/>
        <item x="247"/>
        <item x="185"/>
        <item x="172"/>
        <item x="178"/>
        <item x="145"/>
        <item x="73"/>
        <item x="36"/>
        <item x="302"/>
        <item x="94"/>
        <item x="28"/>
        <item x="161"/>
        <item x="79"/>
        <item x="269"/>
        <item x="193"/>
        <item x="286"/>
        <item x="236"/>
        <item x="295"/>
        <item x="88"/>
        <item x="103"/>
        <item x="52"/>
        <item x="160"/>
        <item x="46"/>
        <item x="82"/>
        <item x="296"/>
        <item x="224"/>
        <item x="195"/>
        <item x="168"/>
        <item x="188"/>
        <item x="105"/>
        <item x="217"/>
        <item x="86"/>
        <item x="81"/>
        <item x="241"/>
        <item x="128"/>
        <item x="101"/>
        <item x="230"/>
        <item x="87"/>
        <item x="61"/>
        <item x="299"/>
        <item x="179"/>
        <item x="29"/>
        <item x="142"/>
        <item x="162"/>
        <item x="234"/>
        <item x="146"/>
        <item x="21"/>
        <item x="158"/>
        <item x="291"/>
        <item x="120"/>
        <item x="231"/>
        <item x="133"/>
        <item x="93"/>
        <item x="56"/>
        <item x="149"/>
        <item x="258"/>
        <item x="238"/>
        <item x="260"/>
        <item x="85"/>
        <item x="199"/>
        <item x="239"/>
        <item x="284"/>
        <item x="121"/>
        <item x="135"/>
        <item x="254"/>
        <item x="207"/>
        <item x="219"/>
        <item x="174"/>
        <item x="165"/>
        <item x="273"/>
        <item x="42"/>
        <item x="293"/>
        <item x="208"/>
        <item x="282"/>
        <item x="270"/>
        <item x="216"/>
        <item x="229"/>
        <item x="154"/>
        <item x="37"/>
        <item x="235"/>
        <item x="303"/>
        <item x="285"/>
        <item x="250"/>
        <item x="259"/>
        <item x="292"/>
        <item x="209"/>
        <item x="77"/>
        <item x="156"/>
        <item x="151"/>
        <item x="171"/>
        <item x="126"/>
        <item x="265"/>
        <item x="95"/>
        <item x="200"/>
        <item x="80"/>
        <item x="48"/>
        <item x="83"/>
        <item x="181"/>
        <item x="24"/>
        <item x="118"/>
        <item x="4"/>
        <item x="306"/>
        <item x="300"/>
        <item x="180"/>
        <item x="14"/>
        <item x="53"/>
        <item x="274"/>
        <item x="110"/>
        <item x="232"/>
        <item x="201"/>
        <item x="186"/>
        <item x="35"/>
        <item x="66"/>
        <item x="194"/>
        <item x="289"/>
        <item x="281"/>
        <item x="283"/>
        <item x="76"/>
        <item x="41"/>
        <item x="49"/>
        <item x="233"/>
        <item x="109"/>
        <item x="136"/>
        <item x="20"/>
        <item x="141"/>
        <item x="305"/>
        <item x="183"/>
        <item x="287"/>
        <item x="45"/>
        <item x="27"/>
        <item x="8"/>
        <item x="111"/>
        <item x="134"/>
        <item x="249"/>
        <item x="203"/>
        <item x="221"/>
        <item x="70"/>
        <item x="167"/>
        <item x="114"/>
        <item x="262"/>
        <item x="164"/>
        <item x="240"/>
        <item x="16"/>
        <item x="253"/>
        <item x="92"/>
        <item x="131"/>
        <item x="220"/>
        <item x="144"/>
        <item x="173"/>
        <item x="19"/>
        <item x="122"/>
        <item x="150"/>
        <item x="57"/>
        <item x="62"/>
        <item x="187"/>
        <item x="297"/>
        <item x="39"/>
        <item x="113"/>
        <item x="176"/>
        <item x="90"/>
        <item x="177"/>
        <item x="96"/>
        <item x="17"/>
        <item x="123"/>
        <item x="10"/>
        <item x="119"/>
        <item x="18"/>
        <item x="280"/>
        <item x="198"/>
        <item x="71"/>
        <item x="266"/>
        <item x="99"/>
        <item x="246"/>
        <item x="275"/>
        <item x="58"/>
        <item x="68"/>
        <item x="13"/>
        <item x="244"/>
        <item x="226"/>
        <item x="116"/>
        <item x="15"/>
        <item x="129"/>
        <item x="245"/>
        <item x="63"/>
        <item x="190"/>
        <item x="117"/>
        <item x="91"/>
        <item x="98"/>
        <item x="204"/>
        <item x="25"/>
        <item x="222"/>
        <item x="211"/>
        <item x="30"/>
        <item x="31"/>
        <item x="288"/>
        <item x="252"/>
        <item x="251"/>
        <item x="159"/>
        <item x="192"/>
        <item x="268"/>
        <item x="255"/>
        <item x="196"/>
        <item x="34"/>
        <item x="257"/>
        <item x="214"/>
        <item x="279"/>
        <item x="3"/>
        <item x="225"/>
        <item x="64"/>
        <item x="276"/>
        <item x="206"/>
        <item t="default"/>
      </items>
    </pivotField>
    <pivotField showAll="0">
      <items count="337">
        <item x="314"/>
        <item x="44"/>
        <item x="18"/>
        <item x="215"/>
        <item x="189"/>
        <item x="50"/>
        <item x="293"/>
        <item x="87"/>
        <item x="224"/>
        <item x="74"/>
        <item x="216"/>
        <item x="96"/>
        <item x="105"/>
        <item x="119"/>
        <item x="326"/>
        <item x="260"/>
        <item x="322"/>
        <item x="307"/>
        <item x="195"/>
        <item x="155"/>
        <item x="78"/>
        <item x="152"/>
        <item x="120"/>
        <item x="165"/>
        <item x="17"/>
        <item x="95"/>
        <item x="138"/>
        <item x="331"/>
        <item x="227"/>
        <item x="128"/>
        <item x="253"/>
        <item x="218"/>
        <item x="79"/>
        <item x="73"/>
        <item x="266"/>
        <item x="127"/>
        <item x="309"/>
        <item x="330"/>
        <item x="51"/>
        <item x="81"/>
        <item x="182"/>
        <item x="275"/>
        <item x="185"/>
        <item x="217"/>
        <item x="283"/>
        <item x="280"/>
        <item x="54"/>
        <item x="254"/>
        <item x="56"/>
        <item x="290"/>
        <item x="299"/>
        <item x="197"/>
        <item x="271"/>
        <item x="328"/>
        <item x="335"/>
        <item x="145"/>
        <item x="104"/>
        <item x="141"/>
        <item x="140"/>
        <item x="294"/>
        <item x="75"/>
        <item x="192"/>
        <item x="161"/>
        <item x="57"/>
        <item x="244"/>
        <item x="242"/>
        <item x="27"/>
        <item x="12"/>
        <item x="202"/>
        <item x="297"/>
        <item x="156"/>
        <item x="61"/>
        <item x="126"/>
        <item x="237"/>
        <item x="200"/>
        <item x="118"/>
        <item x="85"/>
        <item x="259"/>
        <item x="68"/>
        <item x="190"/>
        <item x="181"/>
        <item x="135"/>
        <item x="269"/>
        <item x="312"/>
        <item x="334"/>
        <item x="304"/>
        <item x="172"/>
        <item x="221"/>
        <item x="163"/>
        <item x="210"/>
        <item x="58"/>
        <item x="106"/>
        <item x="308"/>
        <item x="212"/>
        <item x="49"/>
        <item x="16"/>
        <item x="277"/>
        <item x="222"/>
        <item x="53"/>
        <item x="3"/>
        <item x="270"/>
        <item x="320"/>
        <item x="0"/>
        <item x="92"/>
        <item x="154"/>
        <item x="168"/>
        <item x="333"/>
        <item x="34"/>
        <item x="21"/>
        <item x="100"/>
        <item x="88"/>
        <item x="310"/>
        <item x="264"/>
        <item x="23"/>
        <item x="47"/>
        <item x="231"/>
        <item x="29"/>
        <item x="281"/>
        <item x="324"/>
        <item x="113"/>
        <item x="272"/>
        <item x="102"/>
        <item x="187"/>
        <item x="164"/>
        <item x="220"/>
        <item x="209"/>
        <item x="211"/>
        <item x="89"/>
        <item x="151"/>
        <item x="144"/>
        <item x="158"/>
        <item x="77"/>
        <item x="121"/>
        <item x="201"/>
        <item x="300"/>
        <item x="282"/>
        <item x="64"/>
        <item x="207"/>
        <item x="188"/>
        <item x="14"/>
        <item x="26"/>
        <item x="2"/>
        <item x="1"/>
        <item x="35"/>
        <item x="66"/>
        <item x="284"/>
        <item x="174"/>
        <item x="228"/>
        <item x="317"/>
        <item x="125"/>
        <item x="198"/>
        <item x="59"/>
        <item x="40"/>
        <item x="229"/>
        <item x="267"/>
        <item x="143"/>
        <item x="136"/>
        <item x="256"/>
        <item x="110"/>
        <item x="99"/>
        <item x="31"/>
        <item x="139"/>
        <item x="149"/>
        <item x="63"/>
        <item x="241"/>
        <item x="311"/>
        <item x="115"/>
        <item x="208"/>
        <item x="298"/>
        <item x="72"/>
        <item x="245"/>
        <item x="122"/>
        <item x="323"/>
        <item x="238"/>
        <item x="160"/>
        <item x="32"/>
        <item x="173"/>
        <item x="179"/>
        <item x="301"/>
        <item x="148"/>
        <item x="292"/>
        <item x="150"/>
        <item x="129"/>
        <item x="214"/>
        <item x="91"/>
        <item x="303"/>
        <item x="70"/>
        <item x="223"/>
        <item x="60"/>
        <item x="206"/>
        <item x="289"/>
        <item x="159"/>
        <item x="76"/>
        <item x="48"/>
        <item x="133"/>
        <item x="287"/>
        <item x="101"/>
        <item x="41"/>
        <item x="247"/>
        <item x="319"/>
        <item x="315"/>
        <item x="131"/>
        <item x="137"/>
        <item x="225"/>
        <item x="19"/>
        <item x="38"/>
        <item x="230"/>
        <item x="250"/>
        <item x="97"/>
        <item x="112"/>
        <item x="62"/>
        <item x="191"/>
        <item x="306"/>
        <item x="103"/>
        <item x="278"/>
        <item x="43"/>
        <item x="147"/>
        <item x="325"/>
        <item x="276"/>
        <item x="240"/>
        <item x="183"/>
        <item x="302"/>
        <item x="255"/>
        <item x="114"/>
        <item x="67"/>
        <item x="232"/>
        <item x="262"/>
        <item x="15"/>
        <item x="332"/>
        <item x="107"/>
        <item x="166"/>
        <item x="196"/>
        <item x="98"/>
        <item x="313"/>
        <item x="180"/>
        <item x="329"/>
        <item x="258"/>
        <item x="285"/>
        <item x="234"/>
        <item x="65"/>
        <item x="175"/>
        <item x="177"/>
        <item x="108"/>
        <item x="249"/>
        <item x="251"/>
        <item x="7"/>
        <item x="176"/>
        <item x="25"/>
        <item x="252"/>
        <item x="46"/>
        <item x="82"/>
        <item x="246"/>
        <item x="116"/>
        <item x="36"/>
        <item x="117"/>
        <item x="37"/>
        <item x="226"/>
        <item x="171"/>
        <item x="8"/>
        <item x="6"/>
        <item x="80"/>
        <item x="142"/>
        <item x="268"/>
        <item x="109"/>
        <item x="22"/>
        <item x="84"/>
        <item x="33"/>
        <item x="11"/>
        <item x="20"/>
        <item x="30"/>
        <item x="123"/>
        <item x="261"/>
        <item x="86"/>
        <item x="279"/>
        <item x="42"/>
        <item x="296"/>
        <item x="265"/>
        <item x="199"/>
        <item x="316"/>
        <item x="111"/>
        <item x="273"/>
        <item x="169"/>
        <item x="286"/>
        <item x="153"/>
        <item x="94"/>
        <item x="170"/>
        <item x="186"/>
        <item x="213"/>
        <item x="236"/>
        <item x="5"/>
        <item x="194"/>
        <item x="24"/>
        <item x="233"/>
        <item x="28"/>
        <item x="204"/>
        <item x="134"/>
        <item x="203"/>
        <item x="243"/>
        <item x="327"/>
        <item x="39"/>
        <item x="239"/>
        <item x="167"/>
        <item x="93"/>
        <item x="288"/>
        <item x="178"/>
        <item x="184"/>
        <item x="321"/>
        <item x="235"/>
        <item x="130"/>
        <item x="83"/>
        <item x="257"/>
        <item x="318"/>
        <item x="146"/>
        <item x="90"/>
        <item x="69"/>
        <item x="193"/>
        <item x="219"/>
        <item x="291"/>
        <item x="263"/>
        <item x="10"/>
        <item x="45"/>
        <item x="248"/>
        <item x="157"/>
        <item x="55"/>
        <item x="71"/>
        <item x="162"/>
        <item x="124"/>
        <item x="274"/>
        <item x="4"/>
        <item x="305"/>
        <item x="9"/>
        <item x="295"/>
        <item x="205"/>
        <item x="132"/>
        <item x="13"/>
        <item x="52"/>
        <item t="default"/>
      </items>
    </pivotField>
    <pivotField axis="axisRow" showAll="0">
      <items count="20">
        <item x="4"/>
        <item x="6"/>
        <item x="1"/>
        <item x="17"/>
        <item x="5"/>
        <item x="11"/>
        <item x="7"/>
        <item x="16"/>
        <item x="13"/>
        <item x="9"/>
        <item x="3"/>
        <item x="2"/>
        <item x="10"/>
        <item x="8"/>
        <item x="12"/>
        <item x="18"/>
        <item x="14"/>
        <item x="0"/>
        <item x="15"/>
        <item t="default"/>
      </items>
    </pivotField>
    <pivotField showAll="0">
      <items count="26">
        <item x="8"/>
        <item x="22"/>
        <item x="16"/>
        <item x="12"/>
        <item x="11"/>
        <item x="18"/>
        <item x="1"/>
        <item x="24"/>
        <item x="23"/>
        <item x="6"/>
        <item x="3"/>
        <item x="21"/>
        <item x="20"/>
        <item x="14"/>
        <item x="19"/>
        <item x="17"/>
        <item x="0"/>
        <item x="2"/>
        <item x="9"/>
        <item x="4"/>
        <item x="5"/>
        <item x="10"/>
        <item x="7"/>
        <item x="13"/>
        <item x="15"/>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20">
    <i>
      <x/>
    </i>
    <i>
      <x v="1"/>
    </i>
    <i>
      <x v="2"/>
    </i>
    <i>
      <x v="3"/>
    </i>
    <i>
      <x v="4"/>
    </i>
    <i>
      <x v="5"/>
    </i>
    <i>
      <x v="6"/>
    </i>
    <i>
      <x v="7"/>
    </i>
    <i>
      <x v="8"/>
    </i>
    <i>
      <x v="9"/>
    </i>
    <i>
      <x v="10"/>
    </i>
    <i>
      <x v="11"/>
    </i>
    <i>
      <x v="12"/>
    </i>
    <i>
      <x v="13"/>
    </i>
    <i>
      <x v="14"/>
    </i>
    <i>
      <x v="15"/>
    </i>
    <i>
      <x v="16"/>
    </i>
    <i>
      <x v="17"/>
    </i>
    <i>
      <x v="18"/>
    </i>
    <i t="grand">
      <x/>
    </i>
  </rowItems>
  <colItems count="1">
    <i/>
  </colItems>
  <dataFields count="1">
    <dataField name="Count of Order ID" fld="0" subtotal="count" baseField="0" baseItem="0"/>
  </dataFields>
  <chartFormats count="4">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8AC66E-812C-460D-82BF-CB799A2C5400}" name="PivotTable14"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5">
  <location ref="M87:N424" firstHeaderRow="1" firstDataRow="1" firstDataCol="1"/>
  <pivotFields count="7">
    <pivotField dataField="1" showAll="0">
      <items count="501">
        <item x="61"/>
        <item x="9"/>
        <item x="51"/>
        <item x="324"/>
        <item x="414"/>
        <item x="398"/>
        <item x="442"/>
        <item x="48"/>
        <item x="192"/>
        <item x="80"/>
        <item x="319"/>
        <item x="269"/>
        <item x="34"/>
        <item x="189"/>
        <item x="420"/>
        <item x="372"/>
        <item x="253"/>
        <item x="227"/>
        <item x="230"/>
        <item x="295"/>
        <item x="239"/>
        <item x="177"/>
        <item x="321"/>
        <item x="474"/>
        <item x="155"/>
        <item x="78"/>
        <item x="434"/>
        <item x="450"/>
        <item x="37"/>
        <item x="342"/>
        <item x="397"/>
        <item x="486"/>
        <item x="137"/>
        <item x="218"/>
        <item x="222"/>
        <item x="152"/>
        <item x="371"/>
        <item x="104"/>
        <item x="29"/>
        <item x="248"/>
        <item x="476"/>
        <item x="207"/>
        <item x="84"/>
        <item x="411"/>
        <item x="267"/>
        <item x="482"/>
        <item x="452"/>
        <item x="353"/>
        <item x="471"/>
        <item x="96"/>
        <item x="114"/>
        <item x="289"/>
        <item x="53"/>
        <item x="203"/>
        <item x="216"/>
        <item x="47"/>
        <item x="88"/>
        <item x="472"/>
        <item x="335"/>
        <item x="275"/>
        <item x="281"/>
        <item x="221"/>
        <item x="258"/>
        <item x="117"/>
        <item x="317"/>
        <item x="94"/>
        <item x="87"/>
        <item x="361"/>
        <item x="161"/>
        <item x="147"/>
        <item x="112"/>
        <item x="473"/>
        <item x="343"/>
        <item x="488"/>
        <item x="95"/>
        <item x="65"/>
        <item x="483"/>
        <item x="241"/>
        <item x="412"/>
        <item x="416"/>
        <item x="30"/>
        <item x="173"/>
        <item x="208"/>
        <item x="350"/>
        <item x="179"/>
        <item x="22"/>
        <item x="220"/>
        <item x="231"/>
        <item x="195"/>
        <item x="463"/>
        <item x="136"/>
        <item x="344"/>
        <item x="157"/>
        <item x="316"/>
        <item x="309"/>
        <item x="103"/>
        <item x="59"/>
        <item x="182"/>
        <item x="389"/>
        <item x="355"/>
        <item x="391"/>
        <item x="92"/>
        <item x="280"/>
        <item x="357"/>
        <item x="449"/>
        <item x="464"/>
        <item x="497"/>
        <item x="138"/>
        <item x="454"/>
        <item x="160"/>
        <item x="384"/>
        <item x="296"/>
        <item x="322"/>
        <item x="234"/>
        <item x="213"/>
        <item x="427"/>
        <item x="43"/>
        <item x="199"/>
        <item x="468"/>
        <item x="466"/>
        <item x="299"/>
        <item x="446"/>
        <item x="413"/>
        <item x="314"/>
        <item x="341"/>
        <item x="190"/>
        <item x="242"/>
        <item x="85"/>
        <item x="38"/>
        <item x="72"/>
        <item x="352"/>
        <item x="490"/>
        <item x="451"/>
        <item x="378"/>
        <item x="390"/>
        <item x="465"/>
        <item x="302"/>
        <item x="82"/>
        <item x="351"/>
        <item x="428"/>
        <item x="193"/>
        <item x="495"/>
        <item x="185"/>
        <item x="226"/>
        <item x="145"/>
        <item x="399"/>
        <item x="105"/>
        <item x="282"/>
        <item x="86"/>
        <item x="175"/>
        <item x="178"/>
        <item x="49"/>
        <item x="89"/>
        <item x="246"/>
        <item x="25"/>
        <item x="134"/>
        <item x="4"/>
        <item x="498"/>
        <item x="484"/>
        <item x="244"/>
        <item x="15"/>
        <item x="55"/>
        <item x="429"/>
        <item x="122"/>
        <item x="346"/>
        <item x="283"/>
        <item x="255"/>
        <item x="36"/>
        <item x="229"/>
        <item x="225"/>
        <item x="334"/>
        <item x="70"/>
        <item x="273"/>
        <item x="456"/>
        <item x="443"/>
        <item x="447"/>
        <item x="81"/>
        <item x="42"/>
        <item x="50"/>
        <item x="349"/>
        <item x="121"/>
        <item x="238"/>
        <item x="461"/>
        <item x="492"/>
        <item x="163"/>
        <item x="21"/>
        <item x="172"/>
        <item x="494"/>
        <item x="249"/>
        <item x="453"/>
        <item x="167"/>
        <item x="415"/>
        <item x="46"/>
        <item x="307"/>
        <item x="265"/>
        <item x="158"/>
        <item x="28"/>
        <item x="8"/>
        <item x="291"/>
        <item x="362"/>
        <item x="422"/>
        <item x="156"/>
        <item x="123"/>
        <item x="245"/>
        <item x="374"/>
        <item x="159"/>
        <item x="377"/>
        <item x="286"/>
        <item x="328"/>
        <item x="75"/>
        <item x="358"/>
        <item x="270"/>
        <item x="100"/>
        <item x="198"/>
        <item x="458"/>
        <item x="217"/>
        <item x="127"/>
        <item x="394"/>
        <item x="212"/>
        <item x="368"/>
        <item x="359"/>
        <item x="459"/>
        <item x="17"/>
        <item x="383"/>
        <item x="101"/>
        <item x="153"/>
        <item x="325"/>
        <item x="176"/>
        <item x="232"/>
        <item x="20"/>
        <item x="139"/>
        <item x="184"/>
        <item x="423"/>
        <item x="491"/>
        <item x="326"/>
        <item x="60"/>
        <item x="268"/>
        <item x="91"/>
        <item x="66"/>
        <item x="257"/>
        <item x="477"/>
        <item x="40"/>
        <item x="271"/>
        <item x="401"/>
        <item x="126"/>
        <item x="395"/>
        <item x="151"/>
        <item x="148"/>
        <item x="236"/>
        <item x="98"/>
        <item x="237"/>
        <item x="107"/>
        <item x="18"/>
        <item x="206"/>
        <item x="54"/>
        <item x="140"/>
        <item x="162"/>
        <item x="10"/>
        <item x="135"/>
        <item x="375"/>
        <item x="284"/>
        <item x="19"/>
        <item x="300"/>
        <item x="385"/>
        <item x="404"/>
        <item x="441"/>
        <item x="279"/>
        <item x="76"/>
        <item x="402"/>
        <item x="110"/>
        <item x="370"/>
        <item x="430"/>
        <item x="62"/>
        <item x="360"/>
        <item x="274"/>
        <item x="263"/>
        <item x="73"/>
        <item x="130"/>
        <item x="431"/>
        <item x="379"/>
        <item x="14"/>
        <item x="366"/>
        <item x="337"/>
        <item x="475"/>
        <item x="132"/>
        <item x="186"/>
        <item x="16"/>
        <item x="149"/>
        <item x="369"/>
        <item x="197"/>
        <item x="367"/>
        <item x="347"/>
        <item x="141"/>
        <item x="67"/>
        <item x="219"/>
        <item x="261"/>
        <item x="133"/>
        <item x="99"/>
        <item x="109"/>
        <item x="287"/>
        <item x="320"/>
        <item x="26"/>
        <item x="201"/>
        <item x="106"/>
        <item x="329"/>
        <item x="409"/>
        <item x="467"/>
        <item x="305"/>
        <item x="31"/>
        <item x="32"/>
        <item x="455"/>
        <item x="382"/>
        <item x="381"/>
        <item x="200"/>
        <item x="264"/>
        <item x="406"/>
        <item x="386"/>
        <item x="276"/>
        <item x="35"/>
        <item x="388"/>
        <item x="312"/>
        <item x="440"/>
        <item x="3"/>
        <item x="336"/>
        <item x="68"/>
        <item x="432"/>
        <item x="292"/>
        <item x="363"/>
        <item x="57"/>
        <item x="164"/>
        <item x="417"/>
        <item x="418"/>
        <item x="214"/>
        <item x="380"/>
        <item x="27"/>
        <item x="425"/>
        <item x="79"/>
        <item x="426"/>
        <item x="196"/>
        <item x="435"/>
        <item x="306"/>
        <item x="150"/>
        <item x="39"/>
        <item x="313"/>
        <item x="124"/>
        <item x="338"/>
        <item x="260"/>
        <item x="330"/>
        <item x="332"/>
        <item x="33"/>
        <item x="128"/>
        <item x="93"/>
        <item x="69"/>
        <item x="102"/>
        <item x="6"/>
        <item x="194"/>
        <item x="71"/>
        <item x="228"/>
        <item x="142"/>
        <item x="310"/>
        <item x="205"/>
        <item x="174"/>
        <item x="439"/>
        <item x="64"/>
        <item x="489"/>
        <item x="183"/>
        <item x="5"/>
        <item x="115"/>
        <item x="11"/>
        <item x="129"/>
        <item x="277"/>
        <item x="373"/>
        <item x="2"/>
        <item x="146"/>
        <item x="187"/>
        <item x="297"/>
        <item x="304"/>
        <item x="83"/>
        <item x="169"/>
        <item x="478"/>
        <item x="108"/>
        <item x="493"/>
        <item x="168"/>
        <item x="254"/>
        <item x="293"/>
        <item x="97"/>
        <item x="256"/>
        <item x="408"/>
        <item x="235"/>
        <item x="419"/>
        <item x="301"/>
        <item x="345"/>
        <item x="1"/>
        <item x="294"/>
        <item x="56"/>
        <item x="240"/>
        <item x="13"/>
        <item x="444"/>
        <item x="120"/>
        <item x="143"/>
        <item x="333"/>
        <item x="266"/>
        <item x="24"/>
        <item x="318"/>
        <item x="400"/>
        <item x="58"/>
        <item x="251"/>
        <item x="290"/>
        <item x="262"/>
        <item x="180"/>
        <item x="396"/>
        <item x="479"/>
        <item x="469"/>
        <item x="215"/>
        <item x="356"/>
        <item x="209"/>
        <item x="410"/>
        <item x="243"/>
        <item x="116"/>
        <item x="247"/>
        <item x="364"/>
        <item x="23"/>
        <item x="77"/>
        <item x="315"/>
        <item x="327"/>
        <item x="272"/>
        <item x="438"/>
        <item x="63"/>
        <item x="480"/>
        <item x="259"/>
        <item x="421"/>
        <item x="448"/>
        <item x="118"/>
        <item x="210"/>
        <item x="181"/>
        <item x="233"/>
        <item x="311"/>
        <item x="354"/>
        <item x="405"/>
        <item x="111"/>
        <item x="308"/>
        <item x="457"/>
        <item x="303"/>
        <item x="470"/>
        <item x="224"/>
        <item x="462"/>
        <item x="436"/>
        <item x="45"/>
        <item x="387"/>
        <item x="191"/>
        <item x="52"/>
        <item x="119"/>
        <item x="165"/>
        <item x="170"/>
        <item x="0"/>
        <item x="211"/>
        <item x="131"/>
        <item x="285"/>
        <item x="485"/>
        <item x="223"/>
        <item x="90"/>
        <item x="445"/>
        <item x="278"/>
        <item x="365"/>
        <item x="339"/>
        <item x="403"/>
        <item x="74"/>
        <item x="298"/>
        <item x="437"/>
        <item x="166"/>
        <item x="481"/>
        <item x="250"/>
        <item x="41"/>
        <item x="433"/>
        <item x="460"/>
        <item x="204"/>
        <item x="424"/>
        <item x="171"/>
        <item x="487"/>
        <item x="376"/>
        <item x="154"/>
        <item x="393"/>
        <item x="340"/>
        <item x="288"/>
        <item x="44"/>
        <item x="125"/>
        <item x="252"/>
        <item x="496"/>
        <item x="348"/>
        <item x="407"/>
        <item x="323"/>
        <item x="392"/>
        <item x="7"/>
        <item x="331"/>
        <item x="499"/>
        <item x="202"/>
        <item x="144"/>
        <item x="188"/>
        <item x="12"/>
        <item x="113"/>
        <item t="default"/>
      </items>
    </pivotField>
    <pivotField numFmtId="14" showAll="0">
      <items count="308">
        <item x="242"/>
        <item x="54"/>
        <item x="137"/>
        <item x="26"/>
        <item x="74"/>
        <item x="277"/>
        <item x="212"/>
        <item x="130"/>
        <item x="38"/>
        <item x="215"/>
        <item x="112"/>
        <item x="227"/>
        <item x="32"/>
        <item x="65"/>
        <item x="6"/>
        <item x="157"/>
        <item x="67"/>
        <item x="143"/>
        <item x="60"/>
        <item x="5"/>
        <item x="115"/>
        <item x="248"/>
        <item x="2"/>
        <item x="127"/>
        <item x="78"/>
        <item x="97"/>
        <item x="304"/>
        <item x="140"/>
        <item x="89"/>
        <item x="175"/>
        <item x="272"/>
        <item x="1"/>
        <item x="12"/>
        <item x="108"/>
        <item x="124"/>
        <item x="223"/>
        <item x="23"/>
        <item x="55"/>
        <item x="191"/>
        <item x="147"/>
        <item x="263"/>
        <item x="166"/>
        <item x="163"/>
        <item x="104"/>
        <item x="182"/>
        <item x="243"/>
        <item x="22"/>
        <item x="72"/>
        <item x="59"/>
        <item x="189"/>
        <item x="106"/>
        <item x="148"/>
        <item x="237"/>
        <item x="267"/>
        <item x="100"/>
        <item x="213"/>
        <item x="290"/>
        <item x="210"/>
        <item x="294"/>
        <item x="170"/>
        <item x="44"/>
        <item x="256"/>
        <item x="155"/>
        <item x="51"/>
        <item x="107"/>
        <item x="138"/>
        <item x="0"/>
        <item x="202"/>
        <item x="301"/>
        <item x="169"/>
        <item x="84"/>
        <item x="197"/>
        <item x="69"/>
        <item x="278"/>
        <item x="139"/>
        <item x="298"/>
        <item x="184"/>
        <item x="40"/>
        <item x="132"/>
        <item x="261"/>
        <item x="228"/>
        <item x="205"/>
        <item x="43"/>
        <item x="7"/>
        <item x="125"/>
        <item x="152"/>
        <item x="11"/>
        <item x="102"/>
        <item x="9"/>
        <item x="50"/>
        <item x="271"/>
        <item x="264"/>
        <item x="47"/>
        <item x="75"/>
        <item x="218"/>
        <item x="33"/>
        <item x="153"/>
        <item x="247"/>
        <item x="185"/>
        <item x="172"/>
        <item x="178"/>
        <item x="145"/>
        <item x="73"/>
        <item x="36"/>
        <item x="302"/>
        <item x="94"/>
        <item x="28"/>
        <item x="161"/>
        <item x="79"/>
        <item x="269"/>
        <item x="193"/>
        <item x="286"/>
        <item x="236"/>
        <item x="295"/>
        <item x="88"/>
        <item x="103"/>
        <item x="52"/>
        <item x="160"/>
        <item x="46"/>
        <item x="82"/>
        <item x="296"/>
        <item x="224"/>
        <item x="195"/>
        <item x="168"/>
        <item x="188"/>
        <item x="105"/>
        <item x="217"/>
        <item x="86"/>
        <item x="81"/>
        <item x="241"/>
        <item x="128"/>
        <item x="101"/>
        <item x="230"/>
        <item x="87"/>
        <item x="61"/>
        <item x="299"/>
        <item x="179"/>
        <item x="29"/>
        <item x="142"/>
        <item x="162"/>
        <item x="234"/>
        <item x="146"/>
        <item x="21"/>
        <item x="158"/>
        <item x="291"/>
        <item x="120"/>
        <item x="231"/>
        <item x="133"/>
        <item x="93"/>
        <item x="56"/>
        <item x="149"/>
        <item x="258"/>
        <item x="238"/>
        <item x="260"/>
        <item x="85"/>
        <item x="199"/>
        <item x="239"/>
        <item x="284"/>
        <item x="121"/>
        <item x="135"/>
        <item x="254"/>
        <item x="207"/>
        <item x="219"/>
        <item x="174"/>
        <item x="165"/>
        <item x="273"/>
        <item x="42"/>
        <item x="293"/>
        <item x="208"/>
        <item x="282"/>
        <item x="270"/>
        <item x="216"/>
        <item x="229"/>
        <item x="154"/>
        <item x="37"/>
        <item x="235"/>
        <item x="303"/>
        <item x="285"/>
        <item x="250"/>
        <item x="259"/>
        <item x="292"/>
        <item x="209"/>
        <item x="77"/>
        <item x="156"/>
        <item x="151"/>
        <item x="171"/>
        <item x="126"/>
        <item x="265"/>
        <item x="95"/>
        <item x="200"/>
        <item x="80"/>
        <item x="48"/>
        <item x="83"/>
        <item x="181"/>
        <item x="24"/>
        <item x="118"/>
        <item x="4"/>
        <item x="306"/>
        <item x="300"/>
        <item x="180"/>
        <item x="14"/>
        <item x="53"/>
        <item x="274"/>
        <item x="110"/>
        <item x="232"/>
        <item x="201"/>
        <item x="186"/>
        <item x="35"/>
        <item x="66"/>
        <item x="194"/>
        <item x="289"/>
        <item x="281"/>
        <item x="283"/>
        <item x="76"/>
        <item x="41"/>
        <item x="49"/>
        <item x="233"/>
        <item x="109"/>
        <item x="136"/>
        <item x="20"/>
        <item x="141"/>
        <item x="305"/>
        <item x="183"/>
        <item x="287"/>
        <item x="45"/>
        <item x="27"/>
        <item x="8"/>
        <item x="111"/>
        <item x="134"/>
        <item x="249"/>
        <item x="203"/>
        <item x="221"/>
        <item x="70"/>
        <item x="167"/>
        <item x="114"/>
        <item x="262"/>
        <item x="164"/>
        <item x="240"/>
        <item x="16"/>
        <item x="253"/>
        <item x="92"/>
        <item x="131"/>
        <item x="220"/>
        <item x="144"/>
        <item x="173"/>
        <item x="19"/>
        <item x="122"/>
        <item x="150"/>
        <item x="57"/>
        <item x="62"/>
        <item x="187"/>
        <item x="297"/>
        <item x="39"/>
        <item x="113"/>
        <item x="176"/>
        <item x="90"/>
        <item x="177"/>
        <item x="96"/>
        <item x="17"/>
        <item x="123"/>
        <item x="10"/>
        <item x="119"/>
        <item x="18"/>
        <item x="280"/>
        <item x="198"/>
        <item x="71"/>
        <item x="266"/>
        <item x="99"/>
        <item x="246"/>
        <item x="275"/>
        <item x="58"/>
        <item x="68"/>
        <item x="13"/>
        <item x="244"/>
        <item x="226"/>
        <item x="116"/>
        <item x="15"/>
        <item x="129"/>
        <item x="245"/>
        <item x="63"/>
        <item x="190"/>
        <item x="117"/>
        <item x="91"/>
        <item x="98"/>
        <item x="204"/>
        <item x="25"/>
        <item x="222"/>
        <item x="211"/>
        <item x="30"/>
        <item x="31"/>
        <item x="288"/>
        <item x="252"/>
        <item x="251"/>
        <item x="159"/>
        <item x="192"/>
        <item x="268"/>
        <item x="255"/>
        <item x="196"/>
        <item x="34"/>
        <item x="257"/>
        <item x="214"/>
        <item x="279"/>
        <item x="3"/>
        <item x="225"/>
        <item x="64"/>
        <item x="276"/>
        <item x="206"/>
        <item t="default"/>
      </items>
    </pivotField>
    <pivotField axis="axisRow" showAll="0">
      <items count="337">
        <item x="314"/>
        <item x="44"/>
        <item x="18"/>
        <item x="215"/>
        <item x="189"/>
        <item x="50"/>
        <item x="293"/>
        <item x="87"/>
        <item x="224"/>
        <item x="74"/>
        <item x="216"/>
        <item x="96"/>
        <item x="105"/>
        <item x="119"/>
        <item x="326"/>
        <item x="260"/>
        <item x="322"/>
        <item x="307"/>
        <item x="195"/>
        <item x="155"/>
        <item x="78"/>
        <item x="152"/>
        <item x="120"/>
        <item x="165"/>
        <item x="17"/>
        <item x="95"/>
        <item x="138"/>
        <item x="331"/>
        <item x="227"/>
        <item x="128"/>
        <item x="253"/>
        <item x="218"/>
        <item x="79"/>
        <item x="73"/>
        <item x="266"/>
        <item x="127"/>
        <item x="309"/>
        <item x="330"/>
        <item x="51"/>
        <item x="81"/>
        <item x="182"/>
        <item x="275"/>
        <item x="185"/>
        <item x="217"/>
        <item x="283"/>
        <item x="280"/>
        <item x="54"/>
        <item x="254"/>
        <item x="56"/>
        <item x="290"/>
        <item x="299"/>
        <item x="197"/>
        <item x="271"/>
        <item x="328"/>
        <item x="335"/>
        <item x="145"/>
        <item x="104"/>
        <item x="141"/>
        <item x="140"/>
        <item x="294"/>
        <item x="75"/>
        <item x="192"/>
        <item x="161"/>
        <item x="57"/>
        <item x="244"/>
        <item x="242"/>
        <item x="27"/>
        <item x="12"/>
        <item x="202"/>
        <item x="297"/>
        <item x="156"/>
        <item x="61"/>
        <item x="126"/>
        <item x="237"/>
        <item x="200"/>
        <item x="118"/>
        <item x="85"/>
        <item x="259"/>
        <item x="68"/>
        <item x="190"/>
        <item x="181"/>
        <item x="135"/>
        <item x="269"/>
        <item x="312"/>
        <item x="334"/>
        <item x="304"/>
        <item x="172"/>
        <item x="221"/>
        <item x="163"/>
        <item x="210"/>
        <item x="58"/>
        <item x="106"/>
        <item x="308"/>
        <item x="212"/>
        <item x="49"/>
        <item x="16"/>
        <item x="277"/>
        <item x="222"/>
        <item x="53"/>
        <item x="3"/>
        <item x="270"/>
        <item x="320"/>
        <item x="0"/>
        <item x="92"/>
        <item x="154"/>
        <item x="168"/>
        <item x="333"/>
        <item x="34"/>
        <item x="21"/>
        <item x="100"/>
        <item x="88"/>
        <item x="310"/>
        <item x="264"/>
        <item x="23"/>
        <item x="47"/>
        <item x="231"/>
        <item x="29"/>
        <item x="281"/>
        <item x="324"/>
        <item x="113"/>
        <item x="272"/>
        <item x="102"/>
        <item x="187"/>
        <item x="164"/>
        <item x="220"/>
        <item x="209"/>
        <item x="211"/>
        <item x="89"/>
        <item x="151"/>
        <item x="144"/>
        <item x="158"/>
        <item x="77"/>
        <item x="121"/>
        <item x="201"/>
        <item x="300"/>
        <item x="282"/>
        <item x="64"/>
        <item x="207"/>
        <item x="188"/>
        <item x="14"/>
        <item x="26"/>
        <item x="2"/>
        <item x="1"/>
        <item x="35"/>
        <item x="66"/>
        <item x="284"/>
        <item x="174"/>
        <item x="228"/>
        <item x="317"/>
        <item x="125"/>
        <item x="198"/>
        <item x="59"/>
        <item x="40"/>
        <item x="229"/>
        <item x="267"/>
        <item x="143"/>
        <item x="136"/>
        <item x="256"/>
        <item x="110"/>
        <item x="99"/>
        <item x="31"/>
        <item x="139"/>
        <item x="149"/>
        <item x="63"/>
        <item x="241"/>
        <item x="311"/>
        <item x="115"/>
        <item x="208"/>
        <item x="298"/>
        <item x="72"/>
        <item x="245"/>
        <item x="122"/>
        <item x="323"/>
        <item x="238"/>
        <item x="160"/>
        <item x="32"/>
        <item x="173"/>
        <item x="179"/>
        <item x="301"/>
        <item x="148"/>
        <item x="292"/>
        <item x="150"/>
        <item x="129"/>
        <item x="214"/>
        <item x="91"/>
        <item x="303"/>
        <item x="70"/>
        <item x="223"/>
        <item x="60"/>
        <item x="206"/>
        <item x="289"/>
        <item x="159"/>
        <item x="76"/>
        <item x="48"/>
        <item x="133"/>
        <item x="287"/>
        <item x="101"/>
        <item x="41"/>
        <item x="247"/>
        <item x="319"/>
        <item x="315"/>
        <item x="131"/>
        <item x="137"/>
        <item x="225"/>
        <item x="19"/>
        <item x="38"/>
        <item x="230"/>
        <item x="250"/>
        <item x="97"/>
        <item x="112"/>
        <item x="62"/>
        <item x="191"/>
        <item x="306"/>
        <item x="103"/>
        <item x="278"/>
        <item x="43"/>
        <item x="147"/>
        <item x="325"/>
        <item x="276"/>
        <item x="240"/>
        <item x="183"/>
        <item x="302"/>
        <item x="255"/>
        <item x="114"/>
        <item x="67"/>
        <item x="232"/>
        <item x="262"/>
        <item x="15"/>
        <item x="332"/>
        <item x="107"/>
        <item x="166"/>
        <item x="196"/>
        <item x="98"/>
        <item x="313"/>
        <item x="180"/>
        <item x="329"/>
        <item x="258"/>
        <item x="285"/>
        <item x="234"/>
        <item x="65"/>
        <item x="175"/>
        <item x="177"/>
        <item x="108"/>
        <item x="249"/>
        <item x="251"/>
        <item x="7"/>
        <item x="176"/>
        <item x="25"/>
        <item x="252"/>
        <item x="46"/>
        <item x="82"/>
        <item x="246"/>
        <item x="116"/>
        <item x="36"/>
        <item x="117"/>
        <item x="37"/>
        <item x="226"/>
        <item x="171"/>
        <item x="8"/>
        <item x="6"/>
        <item x="80"/>
        <item x="142"/>
        <item x="268"/>
        <item x="109"/>
        <item x="22"/>
        <item x="84"/>
        <item x="33"/>
        <item x="11"/>
        <item x="20"/>
        <item x="30"/>
        <item x="123"/>
        <item x="261"/>
        <item x="86"/>
        <item x="279"/>
        <item x="42"/>
        <item x="296"/>
        <item x="265"/>
        <item x="199"/>
        <item x="316"/>
        <item x="111"/>
        <item x="273"/>
        <item x="169"/>
        <item x="286"/>
        <item x="153"/>
        <item x="94"/>
        <item x="170"/>
        <item x="186"/>
        <item x="213"/>
        <item x="236"/>
        <item x="5"/>
        <item x="194"/>
        <item x="24"/>
        <item x="233"/>
        <item x="28"/>
        <item x="204"/>
        <item x="134"/>
        <item x="203"/>
        <item x="243"/>
        <item x="327"/>
        <item x="39"/>
        <item x="239"/>
        <item x="167"/>
        <item x="93"/>
        <item x="288"/>
        <item x="178"/>
        <item x="184"/>
        <item x="321"/>
        <item x="235"/>
        <item x="130"/>
        <item x="83"/>
        <item x="257"/>
        <item x="318"/>
        <item x="146"/>
        <item x="90"/>
        <item x="69"/>
        <item x="193"/>
        <item x="219"/>
        <item x="291"/>
        <item x="263"/>
        <item x="10"/>
        <item x="45"/>
        <item x="248"/>
        <item x="157"/>
        <item x="55"/>
        <item x="71"/>
        <item x="162"/>
        <item x="124"/>
        <item x="274"/>
        <item x="4"/>
        <item x="305"/>
        <item x="9"/>
        <item x="295"/>
        <item x="205"/>
        <item x="132"/>
        <item x="13"/>
        <item x="52"/>
        <item t="default"/>
      </items>
    </pivotField>
    <pivotField showAll="0">
      <items count="20">
        <item x="4"/>
        <item x="6"/>
        <item x="1"/>
        <item x="17"/>
        <item x="5"/>
        <item x="11"/>
        <item x="7"/>
        <item x="16"/>
        <item x="13"/>
        <item x="9"/>
        <item x="3"/>
        <item x="2"/>
        <item x="10"/>
        <item x="8"/>
        <item x="12"/>
        <item x="18"/>
        <item x="14"/>
        <item x="0"/>
        <item x="15"/>
        <item t="default"/>
      </items>
    </pivotField>
    <pivotField showAll="0">
      <items count="26">
        <item x="8"/>
        <item x="22"/>
        <item x="16"/>
        <item x="12"/>
        <item x="11"/>
        <item x="18"/>
        <item x="1"/>
        <item x="24"/>
        <item x="23"/>
        <item x="6"/>
        <item x="3"/>
        <item x="21"/>
        <item x="20"/>
        <item x="14"/>
        <item x="19"/>
        <item x="17"/>
        <item x="0"/>
        <item x="2"/>
        <item x="9"/>
        <item x="4"/>
        <item x="5"/>
        <item x="10"/>
        <item x="7"/>
        <item x="13"/>
        <item x="15"/>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33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t="grand">
      <x/>
    </i>
  </rowItems>
  <colItems count="1">
    <i/>
  </colItems>
  <dataFields count="1">
    <dataField name="Count of Order ID" fld="0" subtotal="count" baseField="0" baseItem="0"/>
  </dataFields>
  <chartFormats count="5">
    <chartFormat chart="1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20" format="4"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1EFE620-32F5-4022-B232-36E2AE8448C0}" name="PivotTable13"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4">
  <location ref="A119:B456" firstHeaderRow="1" firstDataRow="1" firstDataCol="1"/>
  <pivotFields count="7">
    <pivotField showAll="0">
      <items count="501">
        <item x="61"/>
        <item x="9"/>
        <item x="51"/>
        <item x="324"/>
        <item x="414"/>
        <item x="398"/>
        <item x="442"/>
        <item x="48"/>
        <item x="192"/>
        <item x="80"/>
        <item x="319"/>
        <item x="269"/>
        <item x="34"/>
        <item x="189"/>
        <item x="420"/>
        <item x="372"/>
        <item x="253"/>
        <item x="227"/>
        <item x="230"/>
        <item x="295"/>
        <item x="239"/>
        <item x="177"/>
        <item x="321"/>
        <item x="474"/>
        <item x="155"/>
        <item x="78"/>
        <item x="434"/>
        <item x="450"/>
        <item x="37"/>
        <item x="342"/>
        <item x="397"/>
        <item x="486"/>
        <item x="137"/>
        <item x="218"/>
        <item x="222"/>
        <item x="152"/>
        <item x="371"/>
        <item x="104"/>
        <item x="29"/>
        <item x="248"/>
        <item x="476"/>
        <item x="207"/>
        <item x="84"/>
        <item x="411"/>
        <item x="267"/>
        <item x="482"/>
        <item x="452"/>
        <item x="353"/>
        <item x="471"/>
        <item x="96"/>
        <item x="114"/>
        <item x="289"/>
        <item x="53"/>
        <item x="203"/>
        <item x="216"/>
        <item x="47"/>
        <item x="88"/>
        <item x="472"/>
        <item x="335"/>
        <item x="275"/>
        <item x="281"/>
        <item x="221"/>
        <item x="258"/>
        <item x="117"/>
        <item x="317"/>
        <item x="94"/>
        <item x="87"/>
        <item x="361"/>
        <item x="161"/>
        <item x="147"/>
        <item x="112"/>
        <item x="473"/>
        <item x="343"/>
        <item x="488"/>
        <item x="95"/>
        <item x="65"/>
        <item x="483"/>
        <item x="241"/>
        <item x="412"/>
        <item x="416"/>
        <item x="30"/>
        <item x="173"/>
        <item x="208"/>
        <item x="350"/>
        <item x="179"/>
        <item x="22"/>
        <item x="220"/>
        <item x="231"/>
        <item x="195"/>
        <item x="463"/>
        <item x="136"/>
        <item x="344"/>
        <item x="157"/>
        <item x="316"/>
        <item x="309"/>
        <item x="103"/>
        <item x="59"/>
        <item x="182"/>
        <item x="389"/>
        <item x="355"/>
        <item x="391"/>
        <item x="92"/>
        <item x="280"/>
        <item x="357"/>
        <item x="449"/>
        <item x="464"/>
        <item x="497"/>
        <item x="138"/>
        <item x="454"/>
        <item x="160"/>
        <item x="384"/>
        <item x="296"/>
        <item x="322"/>
        <item x="234"/>
        <item x="213"/>
        <item x="427"/>
        <item x="43"/>
        <item x="199"/>
        <item x="468"/>
        <item x="466"/>
        <item x="299"/>
        <item x="446"/>
        <item x="413"/>
        <item x="314"/>
        <item x="341"/>
        <item x="190"/>
        <item x="242"/>
        <item x="85"/>
        <item x="38"/>
        <item x="72"/>
        <item x="352"/>
        <item x="490"/>
        <item x="451"/>
        <item x="378"/>
        <item x="390"/>
        <item x="465"/>
        <item x="302"/>
        <item x="82"/>
        <item x="351"/>
        <item x="428"/>
        <item x="193"/>
        <item x="495"/>
        <item x="185"/>
        <item x="226"/>
        <item x="145"/>
        <item x="399"/>
        <item x="105"/>
        <item x="282"/>
        <item x="86"/>
        <item x="175"/>
        <item x="178"/>
        <item x="49"/>
        <item x="89"/>
        <item x="246"/>
        <item x="25"/>
        <item x="134"/>
        <item x="4"/>
        <item x="498"/>
        <item x="484"/>
        <item x="244"/>
        <item x="15"/>
        <item x="55"/>
        <item x="429"/>
        <item x="122"/>
        <item x="346"/>
        <item x="283"/>
        <item x="255"/>
        <item x="36"/>
        <item x="229"/>
        <item x="225"/>
        <item x="334"/>
        <item x="70"/>
        <item x="273"/>
        <item x="456"/>
        <item x="443"/>
        <item x="447"/>
        <item x="81"/>
        <item x="42"/>
        <item x="50"/>
        <item x="349"/>
        <item x="121"/>
        <item x="238"/>
        <item x="461"/>
        <item x="492"/>
        <item x="163"/>
        <item x="21"/>
        <item x="172"/>
        <item x="494"/>
        <item x="249"/>
        <item x="453"/>
        <item x="167"/>
        <item x="415"/>
        <item x="46"/>
        <item x="307"/>
        <item x="265"/>
        <item x="158"/>
        <item x="28"/>
        <item x="8"/>
        <item x="291"/>
        <item x="362"/>
        <item x="422"/>
        <item x="156"/>
        <item x="123"/>
        <item x="245"/>
        <item x="374"/>
        <item x="159"/>
        <item x="377"/>
        <item x="286"/>
        <item x="328"/>
        <item x="75"/>
        <item x="358"/>
        <item x="270"/>
        <item x="100"/>
        <item x="198"/>
        <item x="458"/>
        <item x="217"/>
        <item x="127"/>
        <item x="394"/>
        <item x="212"/>
        <item x="368"/>
        <item x="359"/>
        <item x="459"/>
        <item x="17"/>
        <item x="383"/>
        <item x="101"/>
        <item x="153"/>
        <item x="325"/>
        <item x="176"/>
        <item x="232"/>
        <item x="20"/>
        <item x="139"/>
        <item x="184"/>
        <item x="423"/>
        <item x="491"/>
        <item x="326"/>
        <item x="60"/>
        <item x="268"/>
        <item x="91"/>
        <item x="66"/>
        <item x="257"/>
        <item x="477"/>
        <item x="40"/>
        <item x="271"/>
        <item x="401"/>
        <item x="126"/>
        <item x="395"/>
        <item x="151"/>
        <item x="148"/>
        <item x="236"/>
        <item x="98"/>
        <item x="237"/>
        <item x="107"/>
        <item x="18"/>
        <item x="206"/>
        <item x="54"/>
        <item x="140"/>
        <item x="162"/>
        <item x="10"/>
        <item x="135"/>
        <item x="375"/>
        <item x="284"/>
        <item x="19"/>
        <item x="300"/>
        <item x="385"/>
        <item x="404"/>
        <item x="441"/>
        <item x="279"/>
        <item x="76"/>
        <item x="402"/>
        <item x="110"/>
        <item x="370"/>
        <item x="430"/>
        <item x="62"/>
        <item x="360"/>
        <item x="274"/>
        <item x="263"/>
        <item x="73"/>
        <item x="130"/>
        <item x="431"/>
        <item x="379"/>
        <item x="14"/>
        <item x="366"/>
        <item x="337"/>
        <item x="475"/>
        <item x="132"/>
        <item x="186"/>
        <item x="16"/>
        <item x="149"/>
        <item x="369"/>
        <item x="197"/>
        <item x="367"/>
        <item x="347"/>
        <item x="141"/>
        <item x="67"/>
        <item x="219"/>
        <item x="261"/>
        <item x="133"/>
        <item x="99"/>
        <item x="109"/>
        <item x="287"/>
        <item x="320"/>
        <item x="26"/>
        <item x="201"/>
        <item x="106"/>
        <item x="329"/>
        <item x="409"/>
        <item x="467"/>
        <item x="305"/>
        <item x="31"/>
        <item x="32"/>
        <item x="455"/>
        <item x="382"/>
        <item x="381"/>
        <item x="200"/>
        <item x="264"/>
        <item x="406"/>
        <item x="386"/>
        <item x="276"/>
        <item x="35"/>
        <item x="388"/>
        <item x="312"/>
        <item x="440"/>
        <item x="3"/>
        <item x="336"/>
        <item x="68"/>
        <item x="432"/>
        <item x="292"/>
        <item x="363"/>
        <item x="57"/>
        <item x="164"/>
        <item x="417"/>
        <item x="418"/>
        <item x="214"/>
        <item x="380"/>
        <item x="27"/>
        <item x="425"/>
        <item x="79"/>
        <item x="426"/>
        <item x="196"/>
        <item x="435"/>
        <item x="306"/>
        <item x="150"/>
        <item x="39"/>
        <item x="313"/>
        <item x="124"/>
        <item x="338"/>
        <item x="260"/>
        <item x="330"/>
        <item x="332"/>
        <item x="33"/>
        <item x="128"/>
        <item x="93"/>
        <item x="69"/>
        <item x="102"/>
        <item x="6"/>
        <item x="194"/>
        <item x="71"/>
        <item x="228"/>
        <item x="142"/>
        <item x="310"/>
        <item x="205"/>
        <item x="174"/>
        <item x="439"/>
        <item x="64"/>
        <item x="489"/>
        <item x="183"/>
        <item x="5"/>
        <item x="115"/>
        <item x="11"/>
        <item x="129"/>
        <item x="277"/>
        <item x="373"/>
        <item x="2"/>
        <item x="146"/>
        <item x="187"/>
        <item x="297"/>
        <item x="304"/>
        <item x="83"/>
        <item x="169"/>
        <item x="478"/>
        <item x="108"/>
        <item x="493"/>
        <item x="168"/>
        <item x="254"/>
        <item x="293"/>
        <item x="97"/>
        <item x="256"/>
        <item x="408"/>
        <item x="235"/>
        <item x="419"/>
        <item x="301"/>
        <item x="345"/>
        <item x="1"/>
        <item x="294"/>
        <item x="56"/>
        <item x="240"/>
        <item x="13"/>
        <item x="444"/>
        <item x="120"/>
        <item x="143"/>
        <item x="333"/>
        <item x="266"/>
        <item x="24"/>
        <item x="318"/>
        <item x="400"/>
        <item x="58"/>
        <item x="251"/>
        <item x="290"/>
        <item x="262"/>
        <item x="180"/>
        <item x="396"/>
        <item x="479"/>
        <item x="469"/>
        <item x="215"/>
        <item x="356"/>
        <item x="209"/>
        <item x="410"/>
        <item x="243"/>
        <item x="116"/>
        <item x="247"/>
        <item x="364"/>
        <item x="23"/>
        <item x="77"/>
        <item x="315"/>
        <item x="327"/>
        <item x="272"/>
        <item x="438"/>
        <item x="63"/>
        <item x="480"/>
        <item x="259"/>
        <item x="421"/>
        <item x="448"/>
        <item x="118"/>
        <item x="210"/>
        <item x="181"/>
        <item x="233"/>
        <item x="311"/>
        <item x="354"/>
        <item x="405"/>
        <item x="111"/>
        <item x="308"/>
        <item x="457"/>
        <item x="303"/>
        <item x="470"/>
        <item x="224"/>
        <item x="462"/>
        <item x="436"/>
        <item x="45"/>
        <item x="387"/>
        <item x="191"/>
        <item x="52"/>
        <item x="119"/>
        <item x="165"/>
        <item x="170"/>
        <item x="0"/>
        <item x="211"/>
        <item x="131"/>
        <item x="285"/>
        <item x="485"/>
        <item x="223"/>
        <item x="90"/>
        <item x="445"/>
        <item x="278"/>
        <item x="365"/>
        <item x="339"/>
        <item x="403"/>
        <item x="74"/>
        <item x="298"/>
        <item x="437"/>
        <item x="166"/>
        <item x="481"/>
        <item x="250"/>
        <item x="41"/>
        <item x="433"/>
        <item x="460"/>
        <item x="204"/>
        <item x="424"/>
        <item x="171"/>
        <item x="487"/>
        <item x="376"/>
        <item x="154"/>
        <item x="393"/>
        <item x="340"/>
        <item x="288"/>
        <item x="44"/>
        <item x="125"/>
        <item x="252"/>
        <item x="496"/>
        <item x="348"/>
        <item x="407"/>
        <item x="323"/>
        <item x="392"/>
        <item x="7"/>
        <item x="331"/>
        <item x="499"/>
        <item x="202"/>
        <item x="144"/>
        <item x="188"/>
        <item x="12"/>
        <item x="113"/>
        <item t="default"/>
      </items>
    </pivotField>
    <pivotField numFmtId="14" showAll="0">
      <items count="308">
        <item x="242"/>
        <item x="54"/>
        <item x="137"/>
        <item x="26"/>
        <item x="74"/>
        <item x="277"/>
        <item x="212"/>
        <item x="130"/>
        <item x="38"/>
        <item x="215"/>
        <item x="112"/>
        <item x="227"/>
        <item x="32"/>
        <item x="65"/>
        <item x="6"/>
        <item x="157"/>
        <item x="67"/>
        <item x="143"/>
        <item x="60"/>
        <item x="5"/>
        <item x="115"/>
        <item x="248"/>
        <item x="2"/>
        <item x="127"/>
        <item x="78"/>
        <item x="97"/>
        <item x="304"/>
        <item x="140"/>
        <item x="89"/>
        <item x="175"/>
        <item x="272"/>
        <item x="1"/>
        <item x="12"/>
        <item x="108"/>
        <item x="124"/>
        <item x="223"/>
        <item x="23"/>
        <item x="55"/>
        <item x="191"/>
        <item x="147"/>
        <item x="263"/>
        <item x="166"/>
        <item x="163"/>
        <item x="104"/>
        <item x="182"/>
        <item x="243"/>
        <item x="22"/>
        <item x="72"/>
        <item x="59"/>
        <item x="189"/>
        <item x="106"/>
        <item x="148"/>
        <item x="237"/>
        <item x="267"/>
        <item x="100"/>
        <item x="213"/>
        <item x="290"/>
        <item x="210"/>
        <item x="294"/>
        <item x="170"/>
        <item x="44"/>
        <item x="256"/>
        <item x="155"/>
        <item x="51"/>
        <item x="107"/>
        <item x="138"/>
        <item x="0"/>
        <item x="202"/>
        <item x="301"/>
        <item x="169"/>
        <item x="84"/>
        <item x="197"/>
        <item x="69"/>
        <item x="278"/>
        <item x="139"/>
        <item x="298"/>
        <item x="184"/>
        <item x="40"/>
        <item x="132"/>
        <item x="261"/>
        <item x="228"/>
        <item x="205"/>
        <item x="43"/>
        <item x="7"/>
        <item x="125"/>
        <item x="152"/>
        <item x="11"/>
        <item x="102"/>
        <item x="9"/>
        <item x="50"/>
        <item x="271"/>
        <item x="264"/>
        <item x="47"/>
        <item x="75"/>
        <item x="218"/>
        <item x="33"/>
        <item x="153"/>
        <item x="247"/>
        <item x="185"/>
        <item x="172"/>
        <item x="178"/>
        <item x="145"/>
        <item x="73"/>
        <item x="36"/>
        <item x="302"/>
        <item x="94"/>
        <item x="28"/>
        <item x="161"/>
        <item x="79"/>
        <item x="269"/>
        <item x="193"/>
        <item x="286"/>
        <item x="236"/>
        <item x="295"/>
        <item x="88"/>
        <item x="103"/>
        <item x="52"/>
        <item x="160"/>
        <item x="46"/>
        <item x="82"/>
        <item x="296"/>
        <item x="224"/>
        <item x="195"/>
        <item x="168"/>
        <item x="188"/>
        <item x="105"/>
        <item x="217"/>
        <item x="86"/>
        <item x="81"/>
        <item x="241"/>
        <item x="128"/>
        <item x="101"/>
        <item x="230"/>
        <item x="87"/>
        <item x="61"/>
        <item x="299"/>
        <item x="179"/>
        <item x="29"/>
        <item x="142"/>
        <item x="162"/>
        <item x="234"/>
        <item x="146"/>
        <item x="21"/>
        <item x="158"/>
        <item x="291"/>
        <item x="120"/>
        <item x="231"/>
        <item x="133"/>
        <item x="93"/>
        <item x="56"/>
        <item x="149"/>
        <item x="258"/>
        <item x="238"/>
        <item x="260"/>
        <item x="85"/>
        <item x="199"/>
        <item x="239"/>
        <item x="284"/>
        <item x="121"/>
        <item x="135"/>
        <item x="254"/>
        <item x="207"/>
        <item x="219"/>
        <item x="174"/>
        <item x="165"/>
        <item x="273"/>
        <item x="42"/>
        <item x="293"/>
        <item x="208"/>
        <item x="282"/>
        <item x="270"/>
        <item x="216"/>
        <item x="229"/>
        <item x="154"/>
        <item x="37"/>
        <item x="235"/>
        <item x="303"/>
        <item x="285"/>
        <item x="250"/>
        <item x="259"/>
        <item x="292"/>
        <item x="209"/>
        <item x="77"/>
        <item x="156"/>
        <item x="151"/>
        <item x="171"/>
        <item x="126"/>
        <item x="265"/>
        <item x="95"/>
        <item x="200"/>
        <item x="80"/>
        <item x="48"/>
        <item x="83"/>
        <item x="181"/>
        <item x="24"/>
        <item x="118"/>
        <item x="4"/>
        <item x="306"/>
        <item x="300"/>
        <item x="180"/>
        <item x="14"/>
        <item x="53"/>
        <item x="274"/>
        <item x="110"/>
        <item x="232"/>
        <item x="201"/>
        <item x="186"/>
        <item x="35"/>
        <item x="66"/>
        <item x="194"/>
        <item x="289"/>
        <item x="281"/>
        <item x="283"/>
        <item x="76"/>
        <item x="41"/>
        <item x="49"/>
        <item x="233"/>
        <item x="109"/>
        <item x="136"/>
        <item x="20"/>
        <item x="141"/>
        <item x="305"/>
        <item x="183"/>
        <item x="287"/>
        <item x="45"/>
        <item x="27"/>
        <item x="8"/>
        <item x="111"/>
        <item x="134"/>
        <item x="249"/>
        <item x="203"/>
        <item x="221"/>
        <item x="70"/>
        <item x="167"/>
        <item x="114"/>
        <item x="262"/>
        <item x="164"/>
        <item x="240"/>
        <item x="16"/>
        <item x="253"/>
        <item x="92"/>
        <item x="131"/>
        <item x="220"/>
        <item x="144"/>
        <item x="173"/>
        <item x="19"/>
        <item x="122"/>
        <item x="150"/>
        <item x="57"/>
        <item x="62"/>
        <item x="187"/>
        <item x="297"/>
        <item x="39"/>
        <item x="113"/>
        <item x="176"/>
        <item x="90"/>
        <item x="177"/>
        <item x="96"/>
        <item x="17"/>
        <item x="123"/>
        <item x="10"/>
        <item x="119"/>
        <item x="18"/>
        <item x="280"/>
        <item x="198"/>
        <item x="71"/>
        <item x="266"/>
        <item x="99"/>
        <item x="246"/>
        <item x="275"/>
        <item x="58"/>
        <item x="68"/>
        <item x="13"/>
        <item x="244"/>
        <item x="226"/>
        <item x="116"/>
        <item x="15"/>
        <item x="129"/>
        <item x="245"/>
        <item x="63"/>
        <item x="190"/>
        <item x="117"/>
        <item x="91"/>
        <item x="98"/>
        <item x="204"/>
        <item x="25"/>
        <item x="222"/>
        <item x="211"/>
        <item x="30"/>
        <item x="31"/>
        <item x="288"/>
        <item x="252"/>
        <item x="251"/>
        <item x="159"/>
        <item x="192"/>
        <item x="268"/>
        <item x="255"/>
        <item x="196"/>
        <item x="34"/>
        <item x="257"/>
        <item x="214"/>
        <item x="279"/>
        <item x="3"/>
        <item x="225"/>
        <item x="64"/>
        <item x="276"/>
        <item x="206"/>
        <item t="default"/>
      </items>
    </pivotField>
    <pivotField axis="axisRow" showAll="0">
      <items count="337">
        <item x="314"/>
        <item x="44"/>
        <item x="18"/>
        <item x="215"/>
        <item x="189"/>
        <item x="50"/>
        <item x="293"/>
        <item x="87"/>
        <item x="224"/>
        <item x="74"/>
        <item x="216"/>
        <item x="96"/>
        <item x="105"/>
        <item x="119"/>
        <item x="326"/>
        <item x="260"/>
        <item x="322"/>
        <item x="307"/>
        <item x="195"/>
        <item x="155"/>
        <item x="78"/>
        <item x="152"/>
        <item x="120"/>
        <item x="165"/>
        <item x="17"/>
        <item x="95"/>
        <item x="138"/>
        <item x="331"/>
        <item x="227"/>
        <item x="128"/>
        <item x="253"/>
        <item x="218"/>
        <item x="79"/>
        <item x="73"/>
        <item x="266"/>
        <item x="127"/>
        <item x="309"/>
        <item x="330"/>
        <item x="51"/>
        <item x="81"/>
        <item x="182"/>
        <item x="275"/>
        <item x="185"/>
        <item x="217"/>
        <item x="283"/>
        <item x="280"/>
        <item x="54"/>
        <item x="254"/>
        <item x="56"/>
        <item x="290"/>
        <item x="299"/>
        <item x="197"/>
        <item x="271"/>
        <item x="328"/>
        <item x="335"/>
        <item x="145"/>
        <item x="104"/>
        <item x="141"/>
        <item x="140"/>
        <item x="294"/>
        <item x="75"/>
        <item x="192"/>
        <item x="161"/>
        <item x="57"/>
        <item x="244"/>
        <item x="242"/>
        <item x="27"/>
        <item x="12"/>
        <item x="202"/>
        <item x="297"/>
        <item x="156"/>
        <item x="61"/>
        <item x="126"/>
        <item x="237"/>
        <item x="200"/>
        <item x="118"/>
        <item x="85"/>
        <item x="259"/>
        <item x="68"/>
        <item x="190"/>
        <item x="181"/>
        <item x="135"/>
        <item x="269"/>
        <item x="312"/>
        <item x="334"/>
        <item x="304"/>
        <item x="172"/>
        <item x="221"/>
        <item x="163"/>
        <item x="210"/>
        <item x="58"/>
        <item x="106"/>
        <item x="308"/>
        <item x="212"/>
        <item x="49"/>
        <item x="16"/>
        <item x="277"/>
        <item x="222"/>
        <item x="53"/>
        <item x="3"/>
        <item x="270"/>
        <item x="320"/>
        <item x="0"/>
        <item x="92"/>
        <item x="154"/>
        <item x="168"/>
        <item x="333"/>
        <item x="34"/>
        <item x="21"/>
        <item x="100"/>
        <item x="88"/>
        <item x="310"/>
        <item x="264"/>
        <item x="23"/>
        <item x="47"/>
        <item x="231"/>
        <item x="29"/>
        <item x="281"/>
        <item x="324"/>
        <item x="113"/>
        <item x="272"/>
        <item x="102"/>
        <item x="187"/>
        <item x="164"/>
        <item x="220"/>
        <item x="209"/>
        <item x="211"/>
        <item x="89"/>
        <item x="151"/>
        <item x="144"/>
        <item x="158"/>
        <item x="77"/>
        <item x="121"/>
        <item x="201"/>
        <item x="300"/>
        <item x="282"/>
        <item x="64"/>
        <item x="207"/>
        <item x="188"/>
        <item x="14"/>
        <item x="26"/>
        <item x="2"/>
        <item x="1"/>
        <item x="35"/>
        <item x="66"/>
        <item x="284"/>
        <item x="174"/>
        <item x="228"/>
        <item x="317"/>
        <item x="125"/>
        <item x="198"/>
        <item x="59"/>
        <item x="40"/>
        <item x="229"/>
        <item x="267"/>
        <item x="143"/>
        <item x="136"/>
        <item x="256"/>
        <item x="110"/>
        <item x="99"/>
        <item x="31"/>
        <item x="139"/>
        <item x="149"/>
        <item x="63"/>
        <item x="241"/>
        <item x="311"/>
        <item x="115"/>
        <item x="208"/>
        <item x="298"/>
        <item x="72"/>
        <item x="245"/>
        <item x="122"/>
        <item x="323"/>
        <item x="238"/>
        <item x="160"/>
        <item x="32"/>
        <item x="173"/>
        <item x="179"/>
        <item x="301"/>
        <item x="148"/>
        <item x="292"/>
        <item x="150"/>
        <item x="129"/>
        <item x="214"/>
        <item x="91"/>
        <item x="303"/>
        <item x="70"/>
        <item x="223"/>
        <item x="60"/>
        <item x="206"/>
        <item x="289"/>
        <item x="159"/>
        <item x="76"/>
        <item x="48"/>
        <item x="133"/>
        <item x="287"/>
        <item x="101"/>
        <item x="41"/>
        <item x="247"/>
        <item x="319"/>
        <item x="315"/>
        <item x="131"/>
        <item x="137"/>
        <item x="225"/>
        <item x="19"/>
        <item x="38"/>
        <item x="230"/>
        <item x="250"/>
        <item x="97"/>
        <item x="112"/>
        <item x="62"/>
        <item x="191"/>
        <item x="306"/>
        <item x="103"/>
        <item x="278"/>
        <item x="43"/>
        <item x="147"/>
        <item x="325"/>
        <item x="276"/>
        <item x="240"/>
        <item x="183"/>
        <item x="302"/>
        <item x="255"/>
        <item x="114"/>
        <item x="67"/>
        <item x="232"/>
        <item x="262"/>
        <item x="15"/>
        <item x="332"/>
        <item x="107"/>
        <item x="166"/>
        <item x="196"/>
        <item x="98"/>
        <item x="313"/>
        <item x="180"/>
        <item x="329"/>
        <item x="258"/>
        <item x="285"/>
        <item x="234"/>
        <item x="65"/>
        <item x="175"/>
        <item x="177"/>
        <item x="108"/>
        <item x="249"/>
        <item x="251"/>
        <item x="7"/>
        <item x="176"/>
        <item x="25"/>
        <item x="252"/>
        <item x="46"/>
        <item x="82"/>
        <item x="246"/>
        <item x="116"/>
        <item x="36"/>
        <item x="117"/>
        <item x="37"/>
        <item x="226"/>
        <item x="171"/>
        <item x="8"/>
        <item x="6"/>
        <item x="80"/>
        <item x="142"/>
        <item x="268"/>
        <item x="109"/>
        <item x="22"/>
        <item x="84"/>
        <item x="33"/>
        <item x="11"/>
        <item x="20"/>
        <item x="30"/>
        <item x="123"/>
        <item x="261"/>
        <item x="86"/>
        <item x="279"/>
        <item x="42"/>
        <item x="296"/>
        <item x="265"/>
        <item x="199"/>
        <item x="316"/>
        <item x="111"/>
        <item x="273"/>
        <item x="169"/>
        <item x="286"/>
        <item x="153"/>
        <item x="94"/>
        <item x="170"/>
        <item x="186"/>
        <item x="213"/>
        <item x="236"/>
        <item x="5"/>
        <item x="194"/>
        <item x="24"/>
        <item x="233"/>
        <item x="28"/>
        <item x="204"/>
        <item x="134"/>
        <item x="203"/>
        <item x="243"/>
        <item x="327"/>
        <item x="39"/>
        <item x="239"/>
        <item x="167"/>
        <item x="93"/>
        <item x="288"/>
        <item x="178"/>
        <item x="184"/>
        <item x="321"/>
        <item x="235"/>
        <item x="130"/>
        <item x="83"/>
        <item x="257"/>
        <item x="318"/>
        <item x="146"/>
        <item x="90"/>
        <item x="69"/>
        <item x="193"/>
        <item x="219"/>
        <item x="291"/>
        <item x="263"/>
        <item x="10"/>
        <item x="45"/>
        <item x="248"/>
        <item x="157"/>
        <item x="55"/>
        <item x="71"/>
        <item x="162"/>
        <item x="124"/>
        <item x="274"/>
        <item x="4"/>
        <item x="305"/>
        <item x="9"/>
        <item x="295"/>
        <item x="205"/>
        <item x="132"/>
        <item x="13"/>
        <item x="52"/>
        <item t="default"/>
      </items>
    </pivotField>
    <pivotField dataField="1" showAll="0">
      <items count="20">
        <item x="4"/>
        <item x="6"/>
        <item x="1"/>
        <item x="17"/>
        <item x="5"/>
        <item x="11"/>
        <item x="7"/>
        <item x="16"/>
        <item x="13"/>
        <item x="9"/>
        <item x="3"/>
        <item x="2"/>
        <item x="10"/>
        <item x="8"/>
        <item x="12"/>
        <item x="18"/>
        <item x="14"/>
        <item x="0"/>
        <item x="15"/>
        <item t="default"/>
      </items>
    </pivotField>
    <pivotField showAll="0">
      <items count="26">
        <item x="8"/>
        <item x="22"/>
        <item x="16"/>
        <item x="12"/>
        <item x="11"/>
        <item x="18"/>
        <item x="1"/>
        <item x="24"/>
        <item x="23"/>
        <item x="6"/>
        <item x="3"/>
        <item x="21"/>
        <item x="20"/>
        <item x="14"/>
        <item x="19"/>
        <item x="17"/>
        <item x="0"/>
        <item x="2"/>
        <item x="9"/>
        <item x="4"/>
        <item x="5"/>
        <item x="10"/>
        <item x="7"/>
        <item x="13"/>
        <item x="15"/>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33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t="grand">
      <x/>
    </i>
  </rowItems>
  <colItems count="1">
    <i/>
  </colItems>
  <dataFields count="1">
    <dataField name="Count of State"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637BDFB-56EC-4663-9EE3-437BC9987E1F}" name="PivotTable18"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3">
  <location ref="L36:M40" firstHeaderRow="1" firstDataRow="1" firstDataCol="1"/>
  <pivotFields count="7">
    <pivotField dataField="1" showAll="0">
      <items count="501">
        <item x="61"/>
        <item x="9"/>
        <item x="51"/>
        <item x="324"/>
        <item x="414"/>
        <item x="398"/>
        <item x="442"/>
        <item x="48"/>
        <item x="192"/>
        <item x="80"/>
        <item x="319"/>
        <item x="269"/>
        <item x="34"/>
        <item x="189"/>
        <item x="420"/>
        <item x="372"/>
        <item x="253"/>
        <item x="227"/>
        <item x="230"/>
        <item x="295"/>
        <item x="239"/>
        <item x="177"/>
        <item x="321"/>
        <item x="474"/>
        <item x="155"/>
        <item x="78"/>
        <item x="434"/>
        <item x="450"/>
        <item x="37"/>
        <item x="342"/>
        <item x="397"/>
        <item x="486"/>
        <item x="137"/>
        <item x="218"/>
        <item x="222"/>
        <item x="152"/>
        <item x="371"/>
        <item x="104"/>
        <item x="29"/>
        <item x="248"/>
        <item x="476"/>
        <item x="207"/>
        <item x="84"/>
        <item x="411"/>
        <item x="267"/>
        <item x="482"/>
        <item x="452"/>
        <item x="353"/>
        <item x="471"/>
        <item x="96"/>
        <item x="114"/>
        <item x="289"/>
        <item x="53"/>
        <item x="203"/>
        <item x="216"/>
        <item x="47"/>
        <item x="88"/>
        <item x="472"/>
        <item x="335"/>
        <item x="275"/>
        <item x="281"/>
        <item x="221"/>
        <item x="258"/>
        <item x="117"/>
        <item x="317"/>
        <item x="94"/>
        <item x="87"/>
        <item x="361"/>
        <item x="161"/>
        <item x="147"/>
        <item x="112"/>
        <item x="473"/>
        <item x="343"/>
        <item x="488"/>
        <item x="95"/>
        <item x="65"/>
        <item x="483"/>
        <item x="241"/>
        <item x="412"/>
        <item x="416"/>
        <item x="30"/>
        <item x="173"/>
        <item x="208"/>
        <item x="350"/>
        <item x="179"/>
        <item x="22"/>
        <item x="220"/>
        <item x="231"/>
        <item x="195"/>
        <item x="463"/>
        <item x="136"/>
        <item x="344"/>
        <item x="157"/>
        <item x="316"/>
        <item x="309"/>
        <item x="103"/>
        <item x="59"/>
        <item x="182"/>
        <item x="389"/>
        <item x="355"/>
        <item x="391"/>
        <item x="92"/>
        <item x="280"/>
        <item x="357"/>
        <item x="449"/>
        <item x="464"/>
        <item x="497"/>
        <item x="138"/>
        <item x="454"/>
        <item x="160"/>
        <item x="384"/>
        <item x="296"/>
        <item x="322"/>
        <item x="234"/>
        <item x="213"/>
        <item x="427"/>
        <item x="43"/>
        <item x="199"/>
        <item x="468"/>
        <item x="466"/>
        <item x="299"/>
        <item x="446"/>
        <item x="413"/>
        <item x="314"/>
        <item x="341"/>
        <item x="190"/>
        <item x="242"/>
        <item x="85"/>
        <item x="38"/>
        <item x="72"/>
        <item x="352"/>
        <item x="490"/>
        <item x="451"/>
        <item x="378"/>
        <item x="390"/>
        <item x="465"/>
        <item x="302"/>
        <item x="82"/>
        <item x="351"/>
        <item x="428"/>
        <item x="193"/>
        <item x="495"/>
        <item x="185"/>
        <item x="226"/>
        <item x="145"/>
        <item x="399"/>
        <item x="105"/>
        <item x="282"/>
        <item x="86"/>
        <item x="175"/>
        <item x="178"/>
        <item x="49"/>
        <item x="89"/>
        <item x="246"/>
        <item x="25"/>
        <item x="134"/>
        <item x="4"/>
        <item x="498"/>
        <item x="484"/>
        <item x="244"/>
        <item x="15"/>
        <item x="55"/>
        <item x="429"/>
        <item x="122"/>
        <item x="346"/>
        <item x="283"/>
        <item x="255"/>
        <item x="36"/>
        <item x="229"/>
        <item x="225"/>
        <item x="334"/>
        <item x="70"/>
        <item x="273"/>
        <item x="456"/>
        <item x="443"/>
        <item x="447"/>
        <item x="81"/>
        <item x="42"/>
        <item x="50"/>
        <item x="349"/>
        <item x="121"/>
        <item x="238"/>
        <item x="461"/>
        <item x="492"/>
        <item x="163"/>
        <item x="21"/>
        <item x="172"/>
        <item x="494"/>
        <item x="249"/>
        <item x="453"/>
        <item x="167"/>
        <item x="415"/>
        <item x="46"/>
        <item x="307"/>
        <item x="265"/>
        <item x="158"/>
        <item x="28"/>
        <item x="8"/>
        <item x="291"/>
        <item x="362"/>
        <item x="422"/>
        <item x="156"/>
        <item x="123"/>
        <item x="245"/>
        <item x="374"/>
        <item x="159"/>
        <item x="377"/>
        <item x="286"/>
        <item x="328"/>
        <item x="75"/>
        <item x="358"/>
        <item x="270"/>
        <item x="100"/>
        <item x="198"/>
        <item x="458"/>
        <item x="217"/>
        <item x="127"/>
        <item x="394"/>
        <item x="212"/>
        <item x="368"/>
        <item x="359"/>
        <item x="459"/>
        <item x="17"/>
        <item x="383"/>
        <item x="101"/>
        <item x="153"/>
        <item x="325"/>
        <item x="176"/>
        <item x="232"/>
        <item x="20"/>
        <item x="139"/>
        <item x="184"/>
        <item x="423"/>
        <item x="491"/>
        <item x="326"/>
        <item x="60"/>
        <item x="268"/>
        <item x="91"/>
        <item x="66"/>
        <item x="257"/>
        <item x="477"/>
        <item x="40"/>
        <item x="271"/>
        <item x="401"/>
        <item x="126"/>
        <item x="395"/>
        <item x="151"/>
        <item x="148"/>
        <item x="236"/>
        <item x="98"/>
        <item x="237"/>
        <item x="107"/>
        <item x="18"/>
        <item x="206"/>
        <item x="54"/>
        <item x="140"/>
        <item x="162"/>
        <item x="10"/>
        <item x="135"/>
        <item x="375"/>
        <item x="284"/>
        <item x="19"/>
        <item x="300"/>
        <item x="385"/>
        <item x="404"/>
        <item x="441"/>
        <item x="279"/>
        <item x="76"/>
        <item x="402"/>
        <item x="110"/>
        <item x="370"/>
        <item x="430"/>
        <item x="62"/>
        <item x="360"/>
        <item x="274"/>
        <item x="263"/>
        <item x="73"/>
        <item x="130"/>
        <item x="431"/>
        <item x="379"/>
        <item x="14"/>
        <item x="366"/>
        <item x="337"/>
        <item x="475"/>
        <item x="132"/>
        <item x="186"/>
        <item x="16"/>
        <item x="149"/>
        <item x="369"/>
        <item x="197"/>
        <item x="367"/>
        <item x="347"/>
        <item x="141"/>
        <item x="67"/>
        <item x="219"/>
        <item x="261"/>
        <item x="133"/>
        <item x="99"/>
        <item x="109"/>
        <item x="287"/>
        <item x="320"/>
        <item x="26"/>
        <item x="201"/>
        <item x="106"/>
        <item x="329"/>
        <item x="409"/>
        <item x="467"/>
        <item x="305"/>
        <item x="31"/>
        <item x="32"/>
        <item x="455"/>
        <item x="382"/>
        <item x="381"/>
        <item x="200"/>
        <item x="264"/>
        <item x="406"/>
        <item x="386"/>
        <item x="276"/>
        <item x="35"/>
        <item x="388"/>
        <item x="312"/>
        <item x="440"/>
        <item x="3"/>
        <item x="336"/>
        <item x="68"/>
        <item x="432"/>
        <item x="292"/>
        <item x="363"/>
        <item x="57"/>
        <item x="164"/>
        <item x="417"/>
        <item x="418"/>
        <item x="214"/>
        <item x="380"/>
        <item x="27"/>
        <item x="425"/>
        <item x="79"/>
        <item x="426"/>
        <item x="196"/>
        <item x="435"/>
        <item x="306"/>
        <item x="150"/>
        <item x="39"/>
        <item x="313"/>
        <item x="124"/>
        <item x="338"/>
        <item x="260"/>
        <item x="330"/>
        <item x="332"/>
        <item x="33"/>
        <item x="128"/>
        <item x="93"/>
        <item x="69"/>
        <item x="102"/>
        <item x="6"/>
        <item x="194"/>
        <item x="71"/>
        <item x="228"/>
        <item x="142"/>
        <item x="310"/>
        <item x="205"/>
        <item x="174"/>
        <item x="439"/>
        <item x="64"/>
        <item x="489"/>
        <item x="183"/>
        <item x="5"/>
        <item x="115"/>
        <item x="11"/>
        <item x="129"/>
        <item x="277"/>
        <item x="373"/>
        <item x="2"/>
        <item x="146"/>
        <item x="187"/>
        <item x="297"/>
        <item x="304"/>
        <item x="83"/>
        <item x="169"/>
        <item x="478"/>
        <item x="108"/>
        <item x="493"/>
        <item x="168"/>
        <item x="254"/>
        <item x="293"/>
        <item x="97"/>
        <item x="256"/>
        <item x="408"/>
        <item x="235"/>
        <item x="419"/>
        <item x="301"/>
        <item x="345"/>
        <item x="1"/>
        <item x="294"/>
        <item x="56"/>
        <item x="240"/>
        <item x="13"/>
        <item x="444"/>
        <item x="120"/>
        <item x="143"/>
        <item x="333"/>
        <item x="266"/>
        <item x="24"/>
        <item x="318"/>
        <item x="400"/>
        <item x="58"/>
        <item x="251"/>
        <item x="290"/>
        <item x="262"/>
        <item x="180"/>
        <item x="396"/>
        <item x="479"/>
        <item x="469"/>
        <item x="215"/>
        <item x="356"/>
        <item x="209"/>
        <item x="410"/>
        <item x="243"/>
        <item x="116"/>
        <item x="247"/>
        <item x="364"/>
        <item x="23"/>
        <item x="77"/>
        <item x="315"/>
        <item x="327"/>
        <item x="272"/>
        <item x="438"/>
        <item x="63"/>
        <item x="480"/>
        <item x="259"/>
        <item x="421"/>
        <item x="448"/>
        <item x="118"/>
        <item x="210"/>
        <item x="181"/>
        <item x="233"/>
        <item x="311"/>
        <item x="354"/>
        <item x="405"/>
        <item x="111"/>
        <item x="308"/>
        <item x="457"/>
        <item x="303"/>
        <item x="470"/>
        <item x="224"/>
        <item x="462"/>
        <item x="436"/>
        <item x="45"/>
        <item x="387"/>
        <item x="191"/>
        <item x="52"/>
        <item x="119"/>
        <item x="165"/>
        <item x="170"/>
        <item x="0"/>
        <item x="211"/>
        <item x="131"/>
        <item x="285"/>
        <item x="485"/>
        <item x="223"/>
        <item x="90"/>
        <item x="445"/>
        <item x="278"/>
        <item x="365"/>
        <item x="339"/>
        <item x="403"/>
        <item x="74"/>
        <item x="298"/>
        <item x="437"/>
        <item x="166"/>
        <item x="481"/>
        <item x="250"/>
        <item x="41"/>
        <item x="433"/>
        <item x="460"/>
        <item x="204"/>
        <item x="424"/>
        <item x="171"/>
        <item x="487"/>
        <item x="376"/>
        <item x="154"/>
        <item x="393"/>
        <item x="340"/>
        <item x="288"/>
        <item x="44"/>
        <item x="125"/>
        <item x="252"/>
        <item x="496"/>
        <item x="348"/>
        <item x="407"/>
        <item x="323"/>
        <item x="392"/>
        <item x="7"/>
        <item x="331"/>
        <item x="499"/>
        <item x="202"/>
        <item x="144"/>
        <item x="188"/>
        <item x="12"/>
        <item x="113"/>
        <item t="default"/>
      </items>
    </pivotField>
    <pivotField numFmtId="14" showAll="0">
      <items count="308">
        <item x="242"/>
        <item x="54"/>
        <item x="137"/>
        <item x="26"/>
        <item x="74"/>
        <item x="277"/>
        <item x="212"/>
        <item x="130"/>
        <item x="38"/>
        <item x="215"/>
        <item x="112"/>
        <item x="227"/>
        <item x="32"/>
        <item x="65"/>
        <item x="6"/>
        <item x="157"/>
        <item x="67"/>
        <item x="143"/>
        <item x="60"/>
        <item x="5"/>
        <item x="115"/>
        <item x="248"/>
        <item x="2"/>
        <item x="127"/>
        <item x="78"/>
        <item x="97"/>
        <item x="304"/>
        <item x="140"/>
        <item x="89"/>
        <item x="175"/>
        <item x="272"/>
        <item x="1"/>
        <item x="12"/>
        <item x="108"/>
        <item x="124"/>
        <item x="223"/>
        <item x="23"/>
        <item x="55"/>
        <item x="191"/>
        <item x="147"/>
        <item x="263"/>
        <item x="166"/>
        <item x="163"/>
        <item x="104"/>
        <item x="182"/>
        <item x="243"/>
        <item x="22"/>
        <item x="72"/>
        <item x="59"/>
        <item x="189"/>
        <item x="106"/>
        <item x="148"/>
        <item x="237"/>
        <item x="267"/>
        <item x="100"/>
        <item x="213"/>
        <item x="290"/>
        <item x="210"/>
        <item x="294"/>
        <item x="170"/>
        <item x="44"/>
        <item x="256"/>
        <item x="155"/>
        <item x="51"/>
        <item x="107"/>
        <item x="138"/>
        <item x="0"/>
        <item x="202"/>
        <item x="301"/>
        <item x="169"/>
        <item x="84"/>
        <item x="197"/>
        <item x="69"/>
        <item x="278"/>
        <item x="139"/>
        <item x="298"/>
        <item x="184"/>
        <item x="40"/>
        <item x="132"/>
        <item x="261"/>
        <item x="228"/>
        <item x="205"/>
        <item x="43"/>
        <item x="7"/>
        <item x="125"/>
        <item x="152"/>
        <item x="11"/>
        <item x="102"/>
        <item x="9"/>
        <item x="50"/>
        <item x="271"/>
        <item x="264"/>
        <item x="47"/>
        <item x="75"/>
        <item x="218"/>
        <item x="33"/>
        <item x="153"/>
        <item x="247"/>
        <item x="185"/>
        <item x="172"/>
        <item x="178"/>
        <item x="145"/>
        <item x="73"/>
        <item x="36"/>
        <item x="302"/>
        <item x="94"/>
        <item x="28"/>
        <item x="161"/>
        <item x="79"/>
        <item x="269"/>
        <item x="193"/>
        <item x="286"/>
        <item x="236"/>
        <item x="295"/>
        <item x="88"/>
        <item x="103"/>
        <item x="52"/>
        <item x="160"/>
        <item x="46"/>
        <item x="82"/>
        <item x="296"/>
        <item x="224"/>
        <item x="195"/>
        <item x="168"/>
        <item x="188"/>
        <item x="105"/>
        <item x="217"/>
        <item x="86"/>
        <item x="81"/>
        <item x="241"/>
        <item x="128"/>
        <item x="101"/>
        <item x="230"/>
        <item x="87"/>
        <item x="61"/>
        <item x="299"/>
        <item x="179"/>
        <item x="29"/>
        <item x="142"/>
        <item x="162"/>
        <item x="234"/>
        <item x="146"/>
        <item x="21"/>
        <item x="158"/>
        <item x="291"/>
        <item x="120"/>
        <item x="231"/>
        <item x="133"/>
        <item x="93"/>
        <item x="56"/>
        <item x="149"/>
        <item x="258"/>
        <item x="238"/>
        <item x="260"/>
        <item x="85"/>
        <item x="199"/>
        <item x="239"/>
        <item x="284"/>
        <item x="121"/>
        <item x="135"/>
        <item x="254"/>
        <item x="207"/>
        <item x="219"/>
        <item x="174"/>
        <item x="165"/>
        <item x="273"/>
        <item x="42"/>
        <item x="293"/>
        <item x="208"/>
        <item x="282"/>
        <item x="270"/>
        <item x="216"/>
        <item x="229"/>
        <item x="154"/>
        <item x="37"/>
        <item x="235"/>
        <item x="303"/>
        <item x="285"/>
        <item x="250"/>
        <item x="259"/>
        <item x="292"/>
        <item x="209"/>
        <item x="77"/>
        <item x="156"/>
        <item x="151"/>
        <item x="171"/>
        <item x="126"/>
        <item x="265"/>
        <item x="95"/>
        <item x="200"/>
        <item x="80"/>
        <item x="48"/>
        <item x="83"/>
        <item x="181"/>
        <item x="24"/>
        <item x="118"/>
        <item x="4"/>
        <item x="306"/>
        <item x="300"/>
        <item x="180"/>
        <item x="14"/>
        <item x="53"/>
        <item x="274"/>
        <item x="110"/>
        <item x="232"/>
        <item x="201"/>
        <item x="186"/>
        <item x="35"/>
        <item x="66"/>
        <item x="194"/>
        <item x="289"/>
        <item x="281"/>
        <item x="283"/>
        <item x="76"/>
        <item x="41"/>
        <item x="49"/>
        <item x="233"/>
        <item x="109"/>
        <item x="136"/>
        <item x="20"/>
        <item x="141"/>
        <item x="305"/>
        <item x="183"/>
        <item x="287"/>
        <item x="45"/>
        <item x="27"/>
        <item x="8"/>
        <item x="111"/>
        <item x="134"/>
        <item x="249"/>
        <item x="203"/>
        <item x="221"/>
        <item x="70"/>
        <item x="167"/>
        <item x="114"/>
        <item x="262"/>
        <item x="164"/>
        <item x="240"/>
        <item x="16"/>
        <item x="253"/>
        <item x="92"/>
        <item x="131"/>
        <item x="220"/>
        <item x="144"/>
        <item x="173"/>
        <item x="19"/>
        <item x="122"/>
        <item x="150"/>
        <item x="57"/>
        <item x="62"/>
        <item x="187"/>
        <item x="297"/>
        <item x="39"/>
        <item x="113"/>
        <item x="176"/>
        <item x="90"/>
        <item x="177"/>
        <item x="96"/>
        <item x="17"/>
        <item x="123"/>
        <item x="10"/>
        <item x="119"/>
        <item x="18"/>
        <item x="280"/>
        <item x="198"/>
        <item x="71"/>
        <item x="266"/>
        <item x="99"/>
        <item x="246"/>
        <item x="275"/>
        <item x="58"/>
        <item x="68"/>
        <item x="13"/>
        <item x="244"/>
        <item x="226"/>
        <item x="116"/>
        <item x="15"/>
        <item x="129"/>
        <item x="245"/>
        <item x="63"/>
        <item x="190"/>
        <item x="117"/>
        <item x="91"/>
        <item x="98"/>
        <item x="204"/>
        <item x="25"/>
        <item x="222"/>
        <item x="211"/>
        <item x="30"/>
        <item x="31"/>
        <item x="288"/>
        <item x="252"/>
        <item x="251"/>
        <item x="159"/>
        <item x="192"/>
        <item x="268"/>
        <item x="255"/>
        <item x="196"/>
        <item x="34"/>
        <item x="257"/>
        <item x="214"/>
        <item x="279"/>
        <item x="3"/>
        <item x="225"/>
        <item x="64"/>
        <item x="276"/>
        <item x="206"/>
        <item t="default"/>
      </items>
    </pivotField>
    <pivotField showAll="0">
      <items count="337">
        <item x="314"/>
        <item x="44"/>
        <item x="18"/>
        <item x="215"/>
        <item x="189"/>
        <item x="50"/>
        <item x="293"/>
        <item x="87"/>
        <item x="224"/>
        <item x="74"/>
        <item x="216"/>
        <item x="96"/>
        <item x="105"/>
        <item x="119"/>
        <item x="326"/>
        <item x="260"/>
        <item x="322"/>
        <item x="307"/>
        <item x="195"/>
        <item x="155"/>
        <item x="78"/>
        <item x="152"/>
        <item x="120"/>
        <item x="165"/>
        <item x="17"/>
        <item x="95"/>
        <item x="138"/>
        <item x="331"/>
        <item x="227"/>
        <item x="128"/>
        <item x="253"/>
        <item x="218"/>
        <item x="79"/>
        <item x="73"/>
        <item x="266"/>
        <item x="127"/>
        <item x="309"/>
        <item x="330"/>
        <item x="51"/>
        <item x="81"/>
        <item x="182"/>
        <item x="275"/>
        <item x="185"/>
        <item x="217"/>
        <item x="283"/>
        <item x="280"/>
        <item x="54"/>
        <item x="254"/>
        <item x="56"/>
        <item x="290"/>
        <item x="299"/>
        <item x="197"/>
        <item x="271"/>
        <item x="328"/>
        <item x="335"/>
        <item x="145"/>
        <item x="104"/>
        <item x="141"/>
        <item x="140"/>
        <item x="294"/>
        <item x="75"/>
        <item x="192"/>
        <item x="161"/>
        <item x="57"/>
        <item x="244"/>
        <item x="242"/>
        <item x="27"/>
        <item x="12"/>
        <item x="202"/>
        <item x="297"/>
        <item x="156"/>
        <item x="61"/>
        <item x="126"/>
        <item x="237"/>
        <item x="200"/>
        <item x="118"/>
        <item x="85"/>
        <item x="259"/>
        <item x="68"/>
        <item x="190"/>
        <item x="181"/>
        <item x="135"/>
        <item x="269"/>
        <item x="312"/>
        <item x="334"/>
        <item x="304"/>
        <item x="172"/>
        <item x="221"/>
        <item x="163"/>
        <item x="210"/>
        <item x="58"/>
        <item x="106"/>
        <item x="308"/>
        <item x="212"/>
        <item x="49"/>
        <item x="16"/>
        <item x="277"/>
        <item x="222"/>
        <item x="53"/>
        <item x="3"/>
        <item x="270"/>
        <item x="320"/>
        <item x="0"/>
        <item x="92"/>
        <item x="154"/>
        <item x="168"/>
        <item x="333"/>
        <item x="34"/>
        <item x="21"/>
        <item x="100"/>
        <item x="88"/>
        <item x="310"/>
        <item x="264"/>
        <item x="23"/>
        <item x="47"/>
        <item x="231"/>
        <item x="29"/>
        <item x="281"/>
        <item x="324"/>
        <item x="113"/>
        <item x="272"/>
        <item x="102"/>
        <item x="187"/>
        <item x="164"/>
        <item x="220"/>
        <item x="209"/>
        <item x="211"/>
        <item x="89"/>
        <item x="151"/>
        <item x="144"/>
        <item x="158"/>
        <item x="77"/>
        <item x="121"/>
        <item x="201"/>
        <item x="300"/>
        <item x="282"/>
        <item x="64"/>
        <item x="207"/>
        <item x="188"/>
        <item x="14"/>
        <item x="26"/>
        <item x="2"/>
        <item x="1"/>
        <item x="35"/>
        <item x="66"/>
        <item x="284"/>
        <item x="174"/>
        <item x="228"/>
        <item x="317"/>
        <item x="125"/>
        <item x="198"/>
        <item x="59"/>
        <item x="40"/>
        <item x="229"/>
        <item x="267"/>
        <item x="143"/>
        <item x="136"/>
        <item x="256"/>
        <item x="110"/>
        <item x="99"/>
        <item x="31"/>
        <item x="139"/>
        <item x="149"/>
        <item x="63"/>
        <item x="241"/>
        <item x="311"/>
        <item x="115"/>
        <item x="208"/>
        <item x="298"/>
        <item x="72"/>
        <item x="245"/>
        <item x="122"/>
        <item x="323"/>
        <item x="238"/>
        <item x="160"/>
        <item x="32"/>
        <item x="173"/>
        <item x="179"/>
        <item x="301"/>
        <item x="148"/>
        <item x="292"/>
        <item x="150"/>
        <item x="129"/>
        <item x="214"/>
        <item x="91"/>
        <item x="303"/>
        <item x="70"/>
        <item x="223"/>
        <item x="60"/>
        <item x="206"/>
        <item x="289"/>
        <item x="159"/>
        <item x="76"/>
        <item x="48"/>
        <item x="133"/>
        <item x="287"/>
        <item x="101"/>
        <item x="41"/>
        <item x="247"/>
        <item x="319"/>
        <item x="315"/>
        <item x="131"/>
        <item x="137"/>
        <item x="225"/>
        <item x="19"/>
        <item x="38"/>
        <item x="230"/>
        <item x="250"/>
        <item x="97"/>
        <item x="112"/>
        <item x="62"/>
        <item x="191"/>
        <item x="306"/>
        <item x="103"/>
        <item x="278"/>
        <item x="43"/>
        <item x="147"/>
        <item x="325"/>
        <item x="276"/>
        <item x="240"/>
        <item x="183"/>
        <item x="302"/>
        <item x="255"/>
        <item x="114"/>
        <item x="67"/>
        <item x="232"/>
        <item x="262"/>
        <item x="15"/>
        <item x="332"/>
        <item x="107"/>
        <item x="166"/>
        <item x="196"/>
        <item x="98"/>
        <item x="313"/>
        <item x="180"/>
        <item x="329"/>
        <item x="258"/>
        <item x="285"/>
        <item x="234"/>
        <item x="65"/>
        <item x="175"/>
        <item x="177"/>
        <item x="108"/>
        <item x="249"/>
        <item x="251"/>
        <item x="7"/>
        <item x="176"/>
        <item x="25"/>
        <item x="252"/>
        <item x="46"/>
        <item x="82"/>
        <item x="246"/>
        <item x="116"/>
        <item x="36"/>
        <item x="117"/>
        <item x="37"/>
        <item x="226"/>
        <item x="171"/>
        <item x="8"/>
        <item x="6"/>
        <item x="80"/>
        <item x="142"/>
        <item x="268"/>
        <item x="109"/>
        <item x="22"/>
        <item x="84"/>
        <item x="33"/>
        <item x="11"/>
        <item x="20"/>
        <item x="30"/>
        <item x="123"/>
        <item x="261"/>
        <item x="86"/>
        <item x="279"/>
        <item x="42"/>
        <item x="296"/>
        <item x="265"/>
        <item x="199"/>
        <item x="316"/>
        <item x="111"/>
        <item x="273"/>
        <item x="169"/>
        <item x="286"/>
        <item x="153"/>
        <item x="94"/>
        <item x="170"/>
        <item x="186"/>
        <item x="213"/>
        <item x="236"/>
        <item x="5"/>
        <item x="194"/>
        <item x="24"/>
        <item x="233"/>
        <item x="28"/>
        <item x="204"/>
        <item x="134"/>
        <item x="203"/>
        <item x="243"/>
        <item x="327"/>
        <item x="39"/>
        <item x="239"/>
        <item x="167"/>
        <item x="93"/>
        <item x="288"/>
        <item x="178"/>
        <item x="184"/>
        <item x="321"/>
        <item x="235"/>
        <item x="130"/>
        <item x="83"/>
        <item x="257"/>
        <item x="318"/>
        <item x="146"/>
        <item x="90"/>
        <item x="69"/>
        <item x="193"/>
        <item x="219"/>
        <item x="291"/>
        <item x="263"/>
        <item x="10"/>
        <item x="45"/>
        <item x="248"/>
        <item x="157"/>
        <item x="55"/>
        <item x="71"/>
        <item x="162"/>
        <item x="124"/>
        <item x="274"/>
        <item x="4"/>
        <item x="305"/>
        <item x="9"/>
        <item x="295"/>
        <item x="205"/>
        <item x="132"/>
        <item x="13"/>
        <item x="52"/>
        <item t="default"/>
      </items>
    </pivotField>
    <pivotField axis="axisRow" showAll="0" measureFilter="1">
      <items count="20">
        <item x="4"/>
        <item x="6"/>
        <item x="1"/>
        <item x="17"/>
        <item x="5"/>
        <item x="11"/>
        <item x="7"/>
        <item x="16"/>
        <item x="13"/>
        <item x="9"/>
        <item x="3"/>
        <item x="2"/>
        <item x="10"/>
        <item x="8"/>
        <item x="12"/>
        <item x="18"/>
        <item x="14"/>
        <item x="0"/>
        <item x="15"/>
        <item t="default"/>
      </items>
    </pivotField>
    <pivotField showAll="0">
      <items count="26">
        <item x="8"/>
        <item x="22"/>
        <item x="16"/>
        <item x="12"/>
        <item x="11"/>
        <item x="18"/>
        <item x="1"/>
        <item x="24"/>
        <item x="23"/>
        <item x="6"/>
        <item x="3"/>
        <item x="21"/>
        <item x="20"/>
        <item x="14"/>
        <item x="19"/>
        <item x="17"/>
        <item x="0"/>
        <item x="2"/>
        <item x="9"/>
        <item x="4"/>
        <item x="5"/>
        <item x="10"/>
        <item x="7"/>
        <item x="13"/>
        <item x="15"/>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4">
    <i>
      <x v="10"/>
    </i>
    <i>
      <x v="11"/>
    </i>
    <i>
      <x v="14"/>
    </i>
    <i t="grand">
      <x/>
    </i>
  </rowItems>
  <colItems count="1">
    <i/>
  </colItems>
  <dataFields count="1">
    <dataField name="Count of Order ID" fld="0" subtotal="count" baseField="0" baseItem="0"/>
  </dataFields>
  <chartFormats count="17">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3" count="1" selected="0">
            <x v="10"/>
          </reference>
        </references>
      </pivotArea>
    </chartFormat>
    <chartFormat chart="3" format="2">
      <pivotArea type="data" outline="0" fieldPosition="0">
        <references count="2">
          <reference field="4294967294" count="1" selected="0">
            <x v="0"/>
          </reference>
          <reference field="3" count="1" selected="0">
            <x v="14"/>
          </reference>
        </references>
      </pivotArea>
    </chartFormat>
    <chartFormat chart="3" format="3">
      <pivotArea type="data" outline="0" fieldPosition="0">
        <references count="2">
          <reference field="4294967294" count="1" selected="0">
            <x v="0"/>
          </reference>
          <reference field="3" count="1" selected="0">
            <x v="11"/>
          </reference>
        </references>
      </pivotArea>
    </chartFormat>
    <chartFormat chart="5" format="8" series="1">
      <pivotArea type="data" outline="0" fieldPosition="0">
        <references count="1">
          <reference field="4294967294" count="1" selected="0">
            <x v="0"/>
          </reference>
        </references>
      </pivotArea>
    </chartFormat>
    <chartFormat chart="5" format="9">
      <pivotArea type="data" outline="0" fieldPosition="0">
        <references count="2">
          <reference field="4294967294" count="1" selected="0">
            <x v="0"/>
          </reference>
          <reference field="3" count="1" selected="0">
            <x v="10"/>
          </reference>
        </references>
      </pivotArea>
    </chartFormat>
    <chartFormat chart="5" format="10">
      <pivotArea type="data" outline="0" fieldPosition="0">
        <references count="2">
          <reference field="4294967294" count="1" selected="0">
            <x v="0"/>
          </reference>
          <reference field="3" count="1" selected="0">
            <x v="11"/>
          </reference>
        </references>
      </pivotArea>
    </chartFormat>
    <chartFormat chart="5" format="11">
      <pivotArea type="data" outline="0" fieldPosition="0">
        <references count="2">
          <reference field="4294967294" count="1" selected="0">
            <x v="0"/>
          </reference>
          <reference field="3" count="1" selected="0">
            <x v="14"/>
          </reference>
        </references>
      </pivotArea>
    </chartFormat>
    <chartFormat chart="9"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0"/>
          </reference>
        </references>
      </pivotArea>
    </chartFormat>
    <chartFormat chart="10" format="2">
      <pivotArea type="data" outline="0" fieldPosition="0">
        <references count="2">
          <reference field="4294967294" count="1" selected="0">
            <x v="0"/>
          </reference>
          <reference field="3" count="1" selected="0">
            <x v="10"/>
          </reference>
        </references>
      </pivotArea>
    </chartFormat>
    <chartFormat chart="10" format="3">
      <pivotArea type="data" outline="0" fieldPosition="0">
        <references count="2">
          <reference field="4294967294" count="1" selected="0">
            <x v="0"/>
          </reference>
          <reference field="3" count="1" selected="0">
            <x v="11"/>
          </reference>
        </references>
      </pivotArea>
    </chartFormat>
    <chartFormat chart="10" format="4">
      <pivotArea type="data" outline="0" fieldPosition="0">
        <references count="2">
          <reference field="4294967294" count="1" selected="0">
            <x v="0"/>
          </reference>
          <reference field="3" count="1" selected="0">
            <x v="14"/>
          </reference>
        </references>
      </pivotArea>
    </chartFormat>
    <chartFormat chart="11" format="5" series="1">
      <pivotArea type="data" outline="0" fieldPosition="0">
        <references count="1">
          <reference field="4294967294" count="1" selected="0">
            <x v="0"/>
          </reference>
        </references>
      </pivotArea>
    </chartFormat>
    <chartFormat chart="11" format="6">
      <pivotArea type="data" outline="0" fieldPosition="0">
        <references count="2">
          <reference field="4294967294" count="1" selected="0">
            <x v="0"/>
          </reference>
          <reference field="3" count="1" selected="0">
            <x v="10"/>
          </reference>
        </references>
      </pivotArea>
    </chartFormat>
    <chartFormat chart="11" format="7">
      <pivotArea type="data" outline="0" fieldPosition="0">
        <references count="2">
          <reference field="4294967294" count="1" selected="0">
            <x v="0"/>
          </reference>
          <reference field="3" count="1" selected="0">
            <x v="11"/>
          </reference>
        </references>
      </pivotArea>
    </chartFormat>
    <chartFormat chart="11" format="8">
      <pivotArea type="data" outline="0" fieldPosition="0">
        <references count="2">
          <reference field="4294967294" count="1" selected="0">
            <x v="0"/>
          </reference>
          <reference field="3" count="1" selected="0">
            <x v="14"/>
          </reference>
        </references>
      </pivotArea>
    </chartFormat>
  </chartFormats>
  <pivotTableStyleInfo name="PivotStyleLight16" showRowHeaders="1" showColHeaders="1" showRowStripes="0" showColStripes="0" showLastColumn="1"/>
  <filters count="1">
    <filter fld="3" type="count" evalOrder="-1" id="262"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58819A0-6665-4727-8B02-F4365B5B30BE}" name="PivotTable17"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location ref="A68:B81" firstHeaderRow="1" firstDataRow="1" firstDataCol="1"/>
  <pivotFields count="7">
    <pivotField dataField="1" showAll="0">
      <items count="501">
        <item x="61"/>
        <item x="9"/>
        <item x="51"/>
        <item x="324"/>
        <item x="414"/>
        <item x="398"/>
        <item x="442"/>
        <item x="48"/>
        <item x="192"/>
        <item x="80"/>
        <item x="319"/>
        <item x="269"/>
        <item x="34"/>
        <item x="189"/>
        <item x="420"/>
        <item x="372"/>
        <item x="253"/>
        <item x="227"/>
        <item x="230"/>
        <item x="295"/>
        <item x="239"/>
        <item x="177"/>
        <item x="321"/>
        <item x="474"/>
        <item x="155"/>
        <item x="78"/>
        <item x="434"/>
        <item x="450"/>
        <item x="37"/>
        <item x="342"/>
        <item x="397"/>
        <item x="486"/>
        <item x="137"/>
        <item x="218"/>
        <item x="222"/>
        <item x="152"/>
        <item x="371"/>
        <item x="104"/>
        <item x="29"/>
        <item x="248"/>
        <item x="476"/>
        <item x="207"/>
        <item x="84"/>
        <item x="411"/>
        <item x="267"/>
        <item x="482"/>
        <item x="452"/>
        <item x="353"/>
        <item x="471"/>
        <item x="96"/>
        <item x="114"/>
        <item x="289"/>
        <item x="53"/>
        <item x="203"/>
        <item x="216"/>
        <item x="47"/>
        <item x="88"/>
        <item x="472"/>
        <item x="335"/>
        <item x="275"/>
        <item x="281"/>
        <item x="221"/>
        <item x="258"/>
        <item x="117"/>
        <item x="317"/>
        <item x="94"/>
        <item x="87"/>
        <item x="361"/>
        <item x="161"/>
        <item x="147"/>
        <item x="112"/>
        <item x="473"/>
        <item x="343"/>
        <item x="488"/>
        <item x="95"/>
        <item x="65"/>
        <item x="483"/>
        <item x="241"/>
        <item x="412"/>
        <item x="416"/>
        <item x="30"/>
        <item x="173"/>
        <item x="208"/>
        <item x="350"/>
        <item x="179"/>
        <item x="22"/>
        <item x="220"/>
        <item x="231"/>
        <item x="195"/>
        <item x="463"/>
        <item x="136"/>
        <item x="344"/>
        <item x="157"/>
        <item x="316"/>
        <item x="309"/>
        <item x="103"/>
        <item x="59"/>
        <item x="182"/>
        <item x="389"/>
        <item x="355"/>
        <item x="391"/>
        <item x="92"/>
        <item x="280"/>
        <item x="357"/>
        <item x="449"/>
        <item x="464"/>
        <item x="497"/>
        <item x="138"/>
        <item x="454"/>
        <item x="160"/>
        <item x="384"/>
        <item x="296"/>
        <item x="322"/>
        <item x="234"/>
        <item x="213"/>
        <item x="427"/>
        <item x="43"/>
        <item x="199"/>
        <item x="468"/>
        <item x="466"/>
        <item x="299"/>
        <item x="446"/>
        <item x="413"/>
        <item x="314"/>
        <item x="341"/>
        <item x="190"/>
        <item x="242"/>
        <item x="85"/>
        <item x="38"/>
        <item x="72"/>
        <item x="352"/>
        <item x="490"/>
        <item x="451"/>
        <item x="378"/>
        <item x="390"/>
        <item x="465"/>
        <item x="302"/>
        <item x="82"/>
        <item x="351"/>
        <item x="428"/>
        <item x="193"/>
        <item x="495"/>
        <item x="185"/>
        <item x="226"/>
        <item x="145"/>
        <item x="399"/>
        <item x="105"/>
        <item x="282"/>
        <item x="86"/>
        <item x="175"/>
        <item x="178"/>
        <item x="49"/>
        <item x="89"/>
        <item x="246"/>
        <item x="25"/>
        <item x="134"/>
        <item x="4"/>
        <item x="498"/>
        <item x="484"/>
        <item x="244"/>
        <item x="15"/>
        <item x="55"/>
        <item x="429"/>
        <item x="122"/>
        <item x="346"/>
        <item x="283"/>
        <item x="255"/>
        <item x="36"/>
        <item x="229"/>
        <item x="225"/>
        <item x="334"/>
        <item x="70"/>
        <item x="273"/>
        <item x="456"/>
        <item x="443"/>
        <item x="447"/>
        <item x="81"/>
        <item x="42"/>
        <item x="50"/>
        <item x="349"/>
        <item x="121"/>
        <item x="238"/>
        <item x="461"/>
        <item x="492"/>
        <item x="163"/>
        <item x="21"/>
        <item x="172"/>
        <item x="494"/>
        <item x="249"/>
        <item x="453"/>
        <item x="167"/>
        <item x="415"/>
        <item x="46"/>
        <item x="307"/>
        <item x="265"/>
        <item x="158"/>
        <item x="28"/>
        <item x="8"/>
        <item x="291"/>
        <item x="362"/>
        <item x="422"/>
        <item x="156"/>
        <item x="123"/>
        <item x="245"/>
        <item x="374"/>
        <item x="159"/>
        <item x="377"/>
        <item x="286"/>
        <item x="328"/>
        <item x="75"/>
        <item x="358"/>
        <item x="270"/>
        <item x="100"/>
        <item x="198"/>
        <item x="458"/>
        <item x="217"/>
        <item x="127"/>
        <item x="394"/>
        <item x="212"/>
        <item x="368"/>
        <item x="359"/>
        <item x="459"/>
        <item x="17"/>
        <item x="383"/>
        <item x="101"/>
        <item x="153"/>
        <item x="325"/>
        <item x="176"/>
        <item x="232"/>
        <item x="20"/>
        <item x="139"/>
        <item x="184"/>
        <item x="423"/>
        <item x="491"/>
        <item x="326"/>
        <item x="60"/>
        <item x="268"/>
        <item x="91"/>
        <item x="66"/>
        <item x="257"/>
        <item x="477"/>
        <item x="40"/>
        <item x="271"/>
        <item x="401"/>
        <item x="126"/>
        <item x="395"/>
        <item x="151"/>
        <item x="148"/>
        <item x="236"/>
        <item x="98"/>
        <item x="237"/>
        <item x="107"/>
        <item x="18"/>
        <item x="206"/>
        <item x="54"/>
        <item x="140"/>
        <item x="162"/>
        <item x="10"/>
        <item x="135"/>
        <item x="375"/>
        <item x="284"/>
        <item x="19"/>
        <item x="300"/>
        <item x="385"/>
        <item x="404"/>
        <item x="441"/>
        <item x="279"/>
        <item x="76"/>
        <item x="402"/>
        <item x="110"/>
        <item x="370"/>
        <item x="430"/>
        <item x="62"/>
        <item x="360"/>
        <item x="274"/>
        <item x="263"/>
        <item x="73"/>
        <item x="130"/>
        <item x="431"/>
        <item x="379"/>
        <item x="14"/>
        <item x="366"/>
        <item x="337"/>
        <item x="475"/>
        <item x="132"/>
        <item x="186"/>
        <item x="16"/>
        <item x="149"/>
        <item x="369"/>
        <item x="197"/>
        <item x="367"/>
        <item x="347"/>
        <item x="141"/>
        <item x="67"/>
        <item x="219"/>
        <item x="261"/>
        <item x="133"/>
        <item x="99"/>
        <item x="109"/>
        <item x="287"/>
        <item x="320"/>
        <item x="26"/>
        <item x="201"/>
        <item x="106"/>
        <item x="329"/>
        <item x="409"/>
        <item x="467"/>
        <item x="305"/>
        <item x="31"/>
        <item x="32"/>
        <item x="455"/>
        <item x="382"/>
        <item x="381"/>
        <item x="200"/>
        <item x="264"/>
        <item x="406"/>
        <item x="386"/>
        <item x="276"/>
        <item x="35"/>
        <item x="388"/>
        <item x="312"/>
        <item x="440"/>
        <item x="3"/>
        <item x="336"/>
        <item x="68"/>
        <item x="432"/>
        <item x="292"/>
        <item x="363"/>
        <item x="57"/>
        <item x="164"/>
        <item x="417"/>
        <item x="418"/>
        <item x="214"/>
        <item x="380"/>
        <item x="27"/>
        <item x="425"/>
        <item x="79"/>
        <item x="426"/>
        <item x="196"/>
        <item x="435"/>
        <item x="306"/>
        <item x="150"/>
        <item x="39"/>
        <item x="313"/>
        <item x="124"/>
        <item x="338"/>
        <item x="260"/>
        <item x="330"/>
        <item x="332"/>
        <item x="33"/>
        <item x="128"/>
        <item x="93"/>
        <item x="69"/>
        <item x="102"/>
        <item x="6"/>
        <item x="194"/>
        <item x="71"/>
        <item x="228"/>
        <item x="142"/>
        <item x="310"/>
        <item x="205"/>
        <item x="174"/>
        <item x="439"/>
        <item x="64"/>
        <item x="489"/>
        <item x="183"/>
        <item x="5"/>
        <item x="115"/>
        <item x="11"/>
        <item x="129"/>
        <item x="277"/>
        <item x="373"/>
        <item x="2"/>
        <item x="146"/>
        <item x="187"/>
        <item x="297"/>
        <item x="304"/>
        <item x="83"/>
        <item x="169"/>
        <item x="478"/>
        <item x="108"/>
        <item x="493"/>
        <item x="168"/>
        <item x="254"/>
        <item x="293"/>
        <item x="97"/>
        <item x="256"/>
        <item x="408"/>
        <item x="235"/>
        <item x="419"/>
        <item x="301"/>
        <item x="345"/>
        <item x="1"/>
        <item x="294"/>
        <item x="56"/>
        <item x="240"/>
        <item x="13"/>
        <item x="444"/>
        <item x="120"/>
        <item x="143"/>
        <item x="333"/>
        <item x="266"/>
        <item x="24"/>
        <item x="318"/>
        <item x="400"/>
        <item x="58"/>
        <item x="251"/>
        <item x="290"/>
        <item x="262"/>
        <item x="180"/>
        <item x="396"/>
        <item x="479"/>
        <item x="469"/>
        <item x="215"/>
        <item x="356"/>
        <item x="209"/>
        <item x="410"/>
        <item x="243"/>
        <item x="116"/>
        <item x="247"/>
        <item x="364"/>
        <item x="23"/>
        <item x="77"/>
        <item x="315"/>
        <item x="327"/>
        <item x="272"/>
        <item x="438"/>
        <item x="63"/>
        <item x="480"/>
        <item x="259"/>
        <item x="421"/>
        <item x="448"/>
        <item x="118"/>
        <item x="210"/>
        <item x="181"/>
        <item x="233"/>
        <item x="311"/>
        <item x="354"/>
        <item x="405"/>
        <item x="111"/>
        <item x="308"/>
        <item x="457"/>
        <item x="303"/>
        <item x="470"/>
        <item x="224"/>
        <item x="462"/>
        <item x="436"/>
        <item x="45"/>
        <item x="387"/>
        <item x="191"/>
        <item x="52"/>
        <item x="119"/>
        <item x="165"/>
        <item x="170"/>
        <item x="0"/>
        <item x="211"/>
        <item x="131"/>
        <item x="285"/>
        <item x="485"/>
        <item x="223"/>
        <item x="90"/>
        <item x="445"/>
        <item x="278"/>
        <item x="365"/>
        <item x="339"/>
        <item x="403"/>
        <item x="74"/>
        <item x="298"/>
        <item x="437"/>
        <item x="166"/>
        <item x="481"/>
        <item x="250"/>
        <item x="41"/>
        <item x="433"/>
        <item x="460"/>
        <item x="204"/>
        <item x="424"/>
        <item x="171"/>
        <item x="487"/>
        <item x="376"/>
        <item x="154"/>
        <item x="393"/>
        <item x="340"/>
        <item x="288"/>
        <item x="44"/>
        <item x="125"/>
        <item x="252"/>
        <item x="496"/>
        <item x="348"/>
        <item x="407"/>
        <item x="323"/>
        <item x="392"/>
        <item x="7"/>
        <item x="331"/>
        <item x="499"/>
        <item x="202"/>
        <item x="144"/>
        <item x="188"/>
        <item x="12"/>
        <item x="113"/>
        <item t="default"/>
      </items>
    </pivotField>
    <pivotField axis="axisRow" numFmtId="14" showAll="0">
      <items count="308">
        <item x="242"/>
        <item x="54"/>
        <item x="137"/>
        <item x="26"/>
        <item x="74"/>
        <item x="277"/>
        <item x="212"/>
        <item x="130"/>
        <item x="38"/>
        <item x="215"/>
        <item x="112"/>
        <item x="227"/>
        <item x="32"/>
        <item x="65"/>
        <item x="6"/>
        <item x="157"/>
        <item x="67"/>
        <item x="143"/>
        <item x="60"/>
        <item x="5"/>
        <item x="115"/>
        <item x="248"/>
        <item x="2"/>
        <item x="127"/>
        <item x="78"/>
        <item x="97"/>
        <item x="304"/>
        <item x="140"/>
        <item x="89"/>
        <item x="175"/>
        <item x="272"/>
        <item x="1"/>
        <item x="12"/>
        <item x="108"/>
        <item x="124"/>
        <item x="223"/>
        <item x="23"/>
        <item x="55"/>
        <item x="191"/>
        <item x="147"/>
        <item x="263"/>
        <item x="166"/>
        <item x="163"/>
        <item x="104"/>
        <item x="182"/>
        <item x="243"/>
        <item x="22"/>
        <item x="72"/>
        <item x="59"/>
        <item x="189"/>
        <item x="106"/>
        <item x="148"/>
        <item x="237"/>
        <item x="267"/>
        <item x="100"/>
        <item x="213"/>
        <item x="290"/>
        <item x="210"/>
        <item x="294"/>
        <item x="170"/>
        <item x="44"/>
        <item x="256"/>
        <item x="155"/>
        <item x="51"/>
        <item x="107"/>
        <item x="138"/>
        <item x="0"/>
        <item x="202"/>
        <item x="301"/>
        <item x="169"/>
        <item x="84"/>
        <item x="197"/>
        <item x="69"/>
        <item x="278"/>
        <item x="139"/>
        <item x="298"/>
        <item x="184"/>
        <item x="40"/>
        <item x="132"/>
        <item x="261"/>
        <item x="228"/>
        <item x="205"/>
        <item x="43"/>
        <item x="7"/>
        <item x="125"/>
        <item x="152"/>
        <item x="11"/>
        <item x="102"/>
        <item x="9"/>
        <item x="50"/>
        <item x="271"/>
        <item x="264"/>
        <item x="47"/>
        <item x="75"/>
        <item x="218"/>
        <item x="33"/>
        <item x="153"/>
        <item x="247"/>
        <item x="185"/>
        <item x="172"/>
        <item x="178"/>
        <item x="145"/>
        <item x="73"/>
        <item x="36"/>
        <item x="302"/>
        <item x="94"/>
        <item x="28"/>
        <item x="161"/>
        <item x="79"/>
        <item x="269"/>
        <item x="193"/>
        <item x="286"/>
        <item x="236"/>
        <item x="295"/>
        <item x="88"/>
        <item x="103"/>
        <item x="52"/>
        <item x="160"/>
        <item x="46"/>
        <item x="82"/>
        <item x="296"/>
        <item x="224"/>
        <item x="195"/>
        <item x="168"/>
        <item x="188"/>
        <item x="105"/>
        <item x="217"/>
        <item x="86"/>
        <item x="81"/>
        <item x="241"/>
        <item x="128"/>
        <item x="101"/>
        <item x="230"/>
        <item x="87"/>
        <item x="61"/>
        <item x="299"/>
        <item x="179"/>
        <item x="29"/>
        <item x="142"/>
        <item x="162"/>
        <item x="234"/>
        <item x="146"/>
        <item x="21"/>
        <item x="158"/>
        <item x="291"/>
        <item x="120"/>
        <item x="231"/>
        <item x="133"/>
        <item x="93"/>
        <item x="56"/>
        <item x="149"/>
        <item x="258"/>
        <item x="238"/>
        <item x="260"/>
        <item x="85"/>
        <item x="199"/>
        <item x="239"/>
        <item x="284"/>
        <item x="121"/>
        <item x="135"/>
        <item x="254"/>
        <item x="207"/>
        <item x="219"/>
        <item x="174"/>
        <item x="165"/>
        <item x="273"/>
        <item x="42"/>
        <item x="293"/>
        <item x="208"/>
        <item x="282"/>
        <item x="270"/>
        <item x="216"/>
        <item x="229"/>
        <item x="154"/>
        <item x="37"/>
        <item x="235"/>
        <item x="303"/>
        <item x="285"/>
        <item x="250"/>
        <item x="259"/>
        <item x="292"/>
        <item x="209"/>
        <item x="77"/>
        <item x="156"/>
        <item x="151"/>
        <item x="171"/>
        <item x="126"/>
        <item x="265"/>
        <item x="95"/>
        <item x="200"/>
        <item x="80"/>
        <item x="48"/>
        <item x="83"/>
        <item x="181"/>
        <item x="24"/>
        <item x="118"/>
        <item x="4"/>
        <item x="306"/>
        <item x="300"/>
        <item x="180"/>
        <item x="14"/>
        <item x="53"/>
        <item x="274"/>
        <item x="110"/>
        <item x="232"/>
        <item x="201"/>
        <item x="186"/>
        <item x="35"/>
        <item x="66"/>
        <item x="194"/>
        <item x="289"/>
        <item x="281"/>
        <item x="283"/>
        <item x="76"/>
        <item x="41"/>
        <item x="49"/>
        <item x="233"/>
        <item x="109"/>
        <item x="136"/>
        <item x="20"/>
        <item x="141"/>
        <item x="305"/>
        <item x="183"/>
        <item x="287"/>
        <item x="45"/>
        <item x="27"/>
        <item x="8"/>
        <item x="111"/>
        <item x="134"/>
        <item x="249"/>
        <item x="203"/>
        <item x="221"/>
        <item x="70"/>
        <item x="167"/>
        <item x="114"/>
        <item x="262"/>
        <item x="164"/>
        <item x="240"/>
        <item x="16"/>
        <item x="253"/>
        <item x="92"/>
        <item x="131"/>
        <item x="220"/>
        <item x="144"/>
        <item x="173"/>
        <item x="19"/>
        <item x="122"/>
        <item x="150"/>
        <item x="57"/>
        <item x="62"/>
        <item x="187"/>
        <item x="297"/>
        <item x="39"/>
        <item x="113"/>
        <item x="176"/>
        <item x="90"/>
        <item x="177"/>
        <item x="96"/>
        <item x="17"/>
        <item x="123"/>
        <item x="10"/>
        <item x="119"/>
        <item x="18"/>
        <item x="280"/>
        <item x="198"/>
        <item x="71"/>
        <item x="266"/>
        <item x="99"/>
        <item x="246"/>
        <item x="275"/>
        <item x="58"/>
        <item x="68"/>
        <item x="13"/>
        <item x="244"/>
        <item x="226"/>
        <item x="116"/>
        <item x="15"/>
        <item x="129"/>
        <item x="245"/>
        <item x="63"/>
        <item x="190"/>
        <item x="117"/>
        <item x="91"/>
        <item x="98"/>
        <item x="204"/>
        <item x="25"/>
        <item x="222"/>
        <item x="211"/>
        <item x="30"/>
        <item x="31"/>
        <item x="288"/>
        <item x="252"/>
        <item x="251"/>
        <item x="159"/>
        <item x="192"/>
        <item x="268"/>
        <item x="255"/>
        <item x="196"/>
        <item x="34"/>
        <item x="257"/>
        <item x="214"/>
        <item x="279"/>
        <item x="3"/>
        <item x="225"/>
        <item x="64"/>
        <item x="276"/>
        <item x="206"/>
        <item t="default"/>
      </items>
    </pivotField>
    <pivotField showAll="0">
      <items count="337">
        <item x="314"/>
        <item x="44"/>
        <item x="18"/>
        <item x="215"/>
        <item x="189"/>
        <item x="50"/>
        <item x="293"/>
        <item x="87"/>
        <item x="224"/>
        <item x="74"/>
        <item x="216"/>
        <item x="96"/>
        <item x="105"/>
        <item x="119"/>
        <item x="326"/>
        <item x="260"/>
        <item x="322"/>
        <item x="307"/>
        <item x="195"/>
        <item x="155"/>
        <item x="78"/>
        <item x="152"/>
        <item x="120"/>
        <item x="165"/>
        <item x="17"/>
        <item x="95"/>
        <item x="138"/>
        <item x="331"/>
        <item x="227"/>
        <item x="128"/>
        <item x="253"/>
        <item x="218"/>
        <item x="79"/>
        <item x="73"/>
        <item x="266"/>
        <item x="127"/>
        <item x="309"/>
        <item x="330"/>
        <item x="51"/>
        <item x="81"/>
        <item x="182"/>
        <item x="275"/>
        <item x="185"/>
        <item x="217"/>
        <item x="283"/>
        <item x="280"/>
        <item x="54"/>
        <item x="254"/>
        <item x="56"/>
        <item x="290"/>
        <item x="299"/>
        <item x="197"/>
        <item x="271"/>
        <item x="328"/>
        <item x="335"/>
        <item x="145"/>
        <item x="104"/>
        <item x="141"/>
        <item x="140"/>
        <item x="294"/>
        <item x="75"/>
        <item x="192"/>
        <item x="161"/>
        <item x="57"/>
        <item x="244"/>
        <item x="242"/>
        <item x="27"/>
        <item x="12"/>
        <item x="202"/>
        <item x="297"/>
        <item x="156"/>
        <item x="61"/>
        <item x="126"/>
        <item x="237"/>
        <item x="200"/>
        <item x="118"/>
        <item x="85"/>
        <item x="259"/>
        <item x="68"/>
        <item x="190"/>
        <item x="181"/>
        <item x="135"/>
        <item x="269"/>
        <item x="312"/>
        <item x="334"/>
        <item x="304"/>
        <item x="172"/>
        <item x="221"/>
        <item x="163"/>
        <item x="210"/>
        <item x="58"/>
        <item x="106"/>
        <item x="308"/>
        <item x="212"/>
        <item x="49"/>
        <item x="16"/>
        <item x="277"/>
        <item x="222"/>
        <item x="53"/>
        <item x="3"/>
        <item x="270"/>
        <item x="320"/>
        <item x="0"/>
        <item x="92"/>
        <item x="154"/>
        <item x="168"/>
        <item x="333"/>
        <item x="34"/>
        <item x="21"/>
        <item x="100"/>
        <item x="88"/>
        <item x="310"/>
        <item x="264"/>
        <item x="23"/>
        <item x="47"/>
        <item x="231"/>
        <item x="29"/>
        <item x="281"/>
        <item x="324"/>
        <item x="113"/>
        <item x="272"/>
        <item x="102"/>
        <item x="187"/>
        <item x="164"/>
        <item x="220"/>
        <item x="209"/>
        <item x="211"/>
        <item x="89"/>
        <item x="151"/>
        <item x="144"/>
        <item x="158"/>
        <item x="77"/>
        <item x="121"/>
        <item x="201"/>
        <item x="300"/>
        <item x="282"/>
        <item x="64"/>
        <item x="207"/>
        <item x="188"/>
        <item x="14"/>
        <item x="26"/>
        <item x="2"/>
        <item x="1"/>
        <item x="35"/>
        <item x="66"/>
        <item x="284"/>
        <item x="174"/>
        <item x="228"/>
        <item x="317"/>
        <item x="125"/>
        <item x="198"/>
        <item x="59"/>
        <item x="40"/>
        <item x="229"/>
        <item x="267"/>
        <item x="143"/>
        <item x="136"/>
        <item x="256"/>
        <item x="110"/>
        <item x="99"/>
        <item x="31"/>
        <item x="139"/>
        <item x="149"/>
        <item x="63"/>
        <item x="241"/>
        <item x="311"/>
        <item x="115"/>
        <item x="208"/>
        <item x="298"/>
        <item x="72"/>
        <item x="245"/>
        <item x="122"/>
        <item x="323"/>
        <item x="238"/>
        <item x="160"/>
        <item x="32"/>
        <item x="173"/>
        <item x="179"/>
        <item x="301"/>
        <item x="148"/>
        <item x="292"/>
        <item x="150"/>
        <item x="129"/>
        <item x="214"/>
        <item x="91"/>
        <item x="303"/>
        <item x="70"/>
        <item x="223"/>
        <item x="60"/>
        <item x="206"/>
        <item x="289"/>
        <item x="159"/>
        <item x="76"/>
        <item x="48"/>
        <item x="133"/>
        <item x="287"/>
        <item x="101"/>
        <item x="41"/>
        <item x="247"/>
        <item x="319"/>
        <item x="315"/>
        <item x="131"/>
        <item x="137"/>
        <item x="225"/>
        <item x="19"/>
        <item x="38"/>
        <item x="230"/>
        <item x="250"/>
        <item x="97"/>
        <item x="112"/>
        <item x="62"/>
        <item x="191"/>
        <item x="306"/>
        <item x="103"/>
        <item x="278"/>
        <item x="43"/>
        <item x="147"/>
        <item x="325"/>
        <item x="276"/>
        <item x="240"/>
        <item x="183"/>
        <item x="302"/>
        <item x="255"/>
        <item x="114"/>
        <item x="67"/>
        <item x="232"/>
        <item x="262"/>
        <item x="15"/>
        <item x="332"/>
        <item x="107"/>
        <item x="166"/>
        <item x="196"/>
        <item x="98"/>
        <item x="313"/>
        <item x="180"/>
        <item x="329"/>
        <item x="258"/>
        <item x="285"/>
        <item x="234"/>
        <item x="65"/>
        <item x="175"/>
        <item x="177"/>
        <item x="108"/>
        <item x="249"/>
        <item x="251"/>
        <item x="7"/>
        <item x="176"/>
        <item x="25"/>
        <item x="252"/>
        <item x="46"/>
        <item x="82"/>
        <item x="246"/>
        <item x="116"/>
        <item x="36"/>
        <item x="117"/>
        <item x="37"/>
        <item x="226"/>
        <item x="171"/>
        <item x="8"/>
        <item x="6"/>
        <item x="80"/>
        <item x="142"/>
        <item x="268"/>
        <item x="109"/>
        <item x="22"/>
        <item x="84"/>
        <item x="33"/>
        <item x="11"/>
        <item x="20"/>
        <item x="30"/>
        <item x="123"/>
        <item x="261"/>
        <item x="86"/>
        <item x="279"/>
        <item x="42"/>
        <item x="296"/>
        <item x="265"/>
        <item x="199"/>
        <item x="316"/>
        <item x="111"/>
        <item x="273"/>
        <item x="169"/>
        <item x="286"/>
        <item x="153"/>
        <item x="94"/>
        <item x="170"/>
        <item x="186"/>
        <item x="213"/>
        <item x="236"/>
        <item x="5"/>
        <item x="194"/>
        <item x="24"/>
        <item x="233"/>
        <item x="28"/>
        <item x="204"/>
        <item x="134"/>
        <item x="203"/>
        <item x="243"/>
        <item x="327"/>
        <item x="39"/>
        <item x="239"/>
        <item x="167"/>
        <item x="93"/>
        <item x="288"/>
        <item x="178"/>
        <item x="184"/>
        <item x="321"/>
        <item x="235"/>
        <item x="130"/>
        <item x="83"/>
        <item x="257"/>
        <item x="318"/>
        <item x="146"/>
        <item x="90"/>
        <item x="69"/>
        <item x="193"/>
        <item x="219"/>
        <item x="291"/>
        <item x="263"/>
        <item x="10"/>
        <item x="45"/>
        <item x="248"/>
        <item x="157"/>
        <item x="55"/>
        <item x="71"/>
        <item x="162"/>
        <item x="124"/>
        <item x="274"/>
        <item x="4"/>
        <item x="305"/>
        <item x="9"/>
        <item x="295"/>
        <item x="205"/>
        <item x="132"/>
        <item x="13"/>
        <item x="52"/>
        <item t="default"/>
      </items>
    </pivotField>
    <pivotField showAll="0">
      <items count="20">
        <item x="4"/>
        <item x="6"/>
        <item x="1"/>
        <item x="17"/>
        <item x="5"/>
        <item x="11"/>
        <item x="7"/>
        <item x="16"/>
        <item x="13"/>
        <item x="9"/>
        <item x="3"/>
        <item x="2"/>
        <item x="10"/>
        <item x="8"/>
        <item x="12"/>
        <item x="18"/>
        <item x="14"/>
        <item x="0"/>
        <item x="15"/>
        <item t="default"/>
      </items>
    </pivotField>
    <pivotField showAll="0">
      <items count="26">
        <item x="8"/>
        <item x="22"/>
        <item x="16"/>
        <item x="12"/>
        <item x="11"/>
        <item x="18"/>
        <item x="1"/>
        <item x="24"/>
        <item x="23"/>
        <item x="6"/>
        <item x="3"/>
        <item x="21"/>
        <item x="20"/>
        <item x="14"/>
        <item x="19"/>
        <item x="17"/>
        <item x="0"/>
        <item x="2"/>
        <item x="9"/>
        <item x="4"/>
        <item x="5"/>
        <item x="10"/>
        <item x="7"/>
        <item x="13"/>
        <item x="15"/>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2">
    <field x="6"/>
    <field x="1"/>
  </rowFields>
  <rowItems count="13">
    <i>
      <x v="1"/>
    </i>
    <i>
      <x v="2"/>
    </i>
    <i>
      <x v="3"/>
    </i>
    <i>
      <x v="4"/>
    </i>
    <i>
      <x v="5"/>
    </i>
    <i>
      <x v="6"/>
    </i>
    <i>
      <x v="7"/>
    </i>
    <i>
      <x v="8"/>
    </i>
    <i>
      <x v="9"/>
    </i>
    <i>
      <x v="10"/>
    </i>
    <i>
      <x v="11"/>
    </i>
    <i>
      <x v="12"/>
    </i>
    <i t="grand">
      <x/>
    </i>
  </rowItems>
  <colItems count="1">
    <i/>
  </colItems>
  <dataFields count="1">
    <dataField name="Count of Order ID" fld="0" subtotal="count" baseField="0" baseItem="0"/>
  </dataFields>
  <chartFormats count="4">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F20C89C7-9ABC-4431-9E19-92AE864B4EE8}" autoFormatId="16" applyNumberFormats="0" applyBorderFormats="0" applyFontFormats="0" applyPatternFormats="0" applyAlignmentFormats="0" applyWidthHeightFormats="0">
  <queryTableRefresh nextId="6">
    <queryTableFields count="5">
      <queryTableField id="1" name="Order ID" tableColumnId="1"/>
      <queryTableField id="2" name="Order Date" tableColumnId="2"/>
      <queryTableField id="3" name="CustomerName" tableColumnId="3"/>
      <queryTableField id="4" name="State" tableColumnId="4"/>
      <queryTableField id="5" name="City" tableColumnId="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Name" xr10:uid="{2B79F0EE-2D8D-4ECA-AC6E-5B1C8260B28C}" sourceName="CustomerName">
  <data>
    <tabular pivotCacheId="562823757">
      <items count="336">
        <i x="314" s="1"/>
        <i x="44" s="1"/>
        <i x="18" s="1"/>
        <i x="215" s="1"/>
        <i x="189" s="1"/>
        <i x="50" s="1"/>
        <i x="293" s="1"/>
        <i x="87" s="1"/>
        <i x="224" s="1"/>
        <i x="74" s="1"/>
        <i x="216" s="1"/>
        <i x="96" s="1"/>
        <i x="105" s="1"/>
        <i x="119" s="1"/>
        <i x="326" s="1"/>
        <i x="260" s="1"/>
        <i x="322" s="1"/>
        <i x="307" s="1"/>
        <i x="195" s="1"/>
        <i x="155" s="1"/>
        <i x="78" s="1"/>
        <i x="152" s="1"/>
        <i x="120" s="1"/>
        <i x="165" s="1"/>
        <i x="17" s="1"/>
        <i x="95" s="1"/>
        <i x="138" s="1"/>
        <i x="331" s="1"/>
        <i x="227" s="1"/>
        <i x="128" s="1"/>
        <i x="253" s="1"/>
        <i x="218" s="1"/>
        <i x="79" s="1"/>
        <i x="73" s="1"/>
        <i x="266" s="1"/>
        <i x="127" s="1"/>
        <i x="309" s="1"/>
        <i x="330" s="1"/>
        <i x="51" s="1"/>
        <i x="81" s="1"/>
        <i x="182" s="1"/>
        <i x="275" s="1"/>
        <i x="185" s="1"/>
        <i x="217" s="1"/>
        <i x="283" s="1"/>
        <i x="280" s="1"/>
        <i x="54" s="1"/>
        <i x="254" s="1"/>
        <i x="56" s="1"/>
        <i x="290" s="1"/>
        <i x="299" s="1"/>
        <i x="197" s="1"/>
        <i x="271" s="1"/>
        <i x="328" s="1"/>
        <i x="335" s="1"/>
        <i x="145" s="1"/>
        <i x="104" s="1"/>
        <i x="141" s="1"/>
        <i x="140" s="1"/>
        <i x="294" s="1"/>
        <i x="75" s="1"/>
        <i x="192" s="1"/>
        <i x="161" s="1"/>
        <i x="57" s="1"/>
        <i x="244" s="1"/>
        <i x="242" s="1"/>
        <i x="27" s="1"/>
        <i x="12" s="1"/>
        <i x="202" s="1"/>
        <i x="297" s="1"/>
        <i x="156" s="1"/>
        <i x="61" s="1"/>
        <i x="126" s="1"/>
        <i x="237" s="1"/>
        <i x="200" s="1"/>
        <i x="118" s="1"/>
        <i x="85" s="1"/>
        <i x="259" s="1"/>
        <i x="68" s="1"/>
        <i x="190" s="1"/>
        <i x="181" s="1"/>
        <i x="135" s="1"/>
        <i x="269" s="1"/>
        <i x="312" s="1"/>
        <i x="334" s="1"/>
        <i x="304" s="1"/>
        <i x="172" s="1"/>
        <i x="221" s="1"/>
        <i x="163" s="1"/>
        <i x="210" s="1"/>
        <i x="58" s="1"/>
        <i x="106" s="1"/>
        <i x="308" s="1"/>
        <i x="212" s="1"/>
        <i x="49" s="1"/>
        <i x="16" s="1"/>
        <i x="277" s="1"/>
        <i x="222" s="1"/>
        <i x="53" s="1"/>
        <i x="3" s="1"/>
        <i x="270" s="1"/>
        <i x="320" s="1"/>
        <i x="0" s="1"/>
        <i x="92" s="1"/>
        <i x="154" s="1"/>
        <i x="168" s="1"/>
        <i x="333" s="1"/>
        <i x="34" s="1"/>
        <i x="21" s="1"/>
        <i x="100" s="1"/>
        <i x="88" s="1"/>
        <i x="310" s="1"/>
        <i x="264" s="1"/>
        <i x="23" s="1"/>
        <i x="47" s="1"/>
        <i x="231" s="1"/>
        <i x="29" s="1"/>
        <i x="281" s="1"/>
        <i x="324" s="1"/>
        <i x="113" s="1"/>
        <i x="272" s="1"/>
        <i x="102" s="1"/>
        <i x="187" s="1"/>
        <i x="164" s="1"/>
        <i x="220" s="1"/>
        <i x="209" s="1"/>
        <i x="211" s="1"/>
        <i x="89" s="1"/>
        <i x="151" s="1"/>
        <i x="144" s="1"/>
        <i x="158" s="1"/>
        <i x="77" s="1"/>
        <i x="121" s="1"/>
        <i x="201" s="1"/>
        <i x="300" s="1"/>
        <i x="282" s="1"/>
        <i x="64" s="1"/>
        <i x="207" s="1"/>
        <i x="188" s="1"/>
        <i x="14" s="1"/>
        <i x="26" s="1"/>
        <i x="2" s="1"/>
        <i x="1" s="1"/>
        <i x="35" s="1"/>
        <i x="66" s="1"/>
        <i x="284" s="1"/>
        <i x="174" s="1"/>
        <i x="228" s="1"/>
        <i x="317" s="1"/>
        <i x="125" s="1"/>
        <i x="198" s="1"/>
        <i x="59" s="1"/>
        <i x="40" s="1"/>
        <i x="229" s="1"/>
        <i x="267" s="1"/>
        <i x="143" s="1"/>
        <i x="136" s="1"/>
        <i x="256" s="1"/>
        <i x="110" s="1"/>
        <i x="99" s="1"/>
        <i x="31" s="1"/>
        <i x="139" s="1"/>
        <i x="149" s="1"/>
        <i x="63" s="1"/>
        <i x="241" s="1"/>
        <i x="311" s="1"/>
        <i x="115" s="1"/>
        <i x="208" s="1"/>
        <i x="298" s="1"/>
        <i x="72" s="1"/>
        <i x="245" s="1"/>
        <i x="122" s="1"/>
        <i x="323" s="1"/>
        <i x="238" s="1"/>
        <i x="160" s="1"/>
        <i x="32" s="1"/>
        <i x="173" s="1"/>
        <i x="179" s="1"/>
        <i x="301" s="1"/>
        <i x="148" s="1"/>
        <i x="292" s="1"/>
        <i x="150" s="1"/>
        <i x="129" s="1"/>
        <i x="214" s="1"/>
        <i x="91" s="1"/>
        <i x="303" s="1"/>
        <i x="70" s="1"/>
        <i x="223" s="1"/>
        <i x="60" s="1"/>
        <i x="206" s="1"/>
        <i x="289" s="1"/>
        <i x="159" s="1"/>
        <i x="76" s="1"/>
        <i x="48" s="1"/>
        <i x="133" s="1"/>
        <i x="287" s="1"/>
        <i x="101" s="1"/>
        <i x="41" s="1"/>
        <i x="247" s="1"/>
        <i x="319" s="1"/>
        <i x="315" s="1"/>
        <i x="131" s="1"/>
        <i x="137" s="1"/>
        <i x="225" s="1"/>
        <i x="19" s="1"/>
        <i x="38" s="1"/>
        <i x="230" s="1"/>
        <i x="250" s="1"/>
        <i x="97" s="1"/>
        <i x="112" s="1"/>
        <i x="62" s="1"/>
        <i x="191" s="1"/>
        <i x="306" s="1"/>
        <i x="103" s="1"/>
        <i x="278" s="1"/>
        <i x="43" s="1"/>
        <i x="147" s="1"/>
        <i x="325" s="1"/>
        <i x="276" s="1"/>
        <i x="240" s="1"/>
        <i x="183" s="1"/>
        <i x="302" s="1"/>
        <i x="255" s="1"/>
        <i x="114" s="1"/>
        <i x="67" s="1"/>
        <i x="232" s="1"/>
        <i x="262" s="1"/>
        <i x="15" s="1"/>
        <i x="332" s="1"/>
        <i x="107" s="1"/>
        <i x="166" s="1"/>
        <i x="196" s="1"/>
        <i x="98" s="1"/>
        <i x="313" s="1"/>
        <i x="180" s="1"/>
        <i x="329" s="1"/>
        <i x="258" s="1"/>
        <i x="285" s="1"/>
        <i x="234" s="1"/>
        <i x="65" s="1"/>
        <i x="175" s="1"/>
        <i x="177" s="1"/>
        <i x="108" s="1"/>
        <i x="249" s="1"/>
        <i x="251" s="1"/>
        <i x="7" s="1"/>
        <i x="176" s="1"/>
        <i x="25" s="1"/>
        <i x="252" s="1"/>
        <i x="46" s="1"/>
        <i x="82" s="1"/>
        <i x="246" s="1"/>
        <i x="116" s="1"/>
        <i x="36" s="1"/>
        <i x="117" s="1"/>
        <i x="37" s="1"/>
        <i x="226" s="1"/>
        <i x="171" s="1"/>
        <i x="8" s="1"/>
        <i x="6" s="1"/>
        <i x="80" s="1"/>
        <i x="142" s="1"/>
        <i x="268" s="1"/>
        <i x="109" s="1"/>
        <i x="22" s="1"/>
        <i x="84" s="1"/>
        <i x="33" s="1"/>
        <i x="11" s="1"/>
        <i x="20" s="1"/>
        <i x="30" s="1"/>
        <i x="123" s="1"/>
        <i x="261" s="1"/>
        <i x="86" s="1"/>
        <i x="279" s="1"/>
        <i x="42" s="1"/>
        <i x="296" s="1"/>
        <i x="265" s="1"/>
        <i x="199" s="1"/>
        <i x="316" s="1"/>
        <i x="111" s="1"/>
        <i x="273" s="1"/>
        <i x="169" s="1"/>
        <i x="286" s="1"/>
        <i x="153" s="1"/>
        <i x="94" s="1"/>
        <i x="170" s="1"/>
        <i x="186" s="1"/>
        <i x="213" s="1"/>
        <i x="236" s="1"/>
        <i x="5" s="1"/>
        <i x="194" s="1"/>
        <i x="24" s="1"/>
        <i x="233" s="1"/>
        <i x="28" s="1"/>
        <i x="204" s="1"/>
        <i x="134" s="1"/>
        <i x="203" s="1"/>
        <i x="243" s="1"/>
        <i x="327" s="1"/>
        <i x="39" s="1"/>
        <i x="239" s="1"/>
        <i x="167" s="1"/>
        <i x="93" s="1"/>
        <i x="288" s="1"/>
        <i x="178" s="1"/>
        <i x="184" s="1"/>
        <i x="321" s="1"/>
        <i x="235" s="1"/>
        <i x="130" s="1"/>
        <i x="83" s="1"/>
        <i x="257" s="1"/>
        <i x="318" s="1"/>
        <i x="146" s="1"/>
        <i x="90" s="1"/>
        <i x="69" s="1"/>
        <i x="193" s="1"/>
        <i x="219" s="1"/>
        <i x="291" s="1"/>
        <i x="263" s="1"/>
        <i x="10" s="1"/>
        <i x="45" s="1"/>
        <i x="248" s="1"/>
        <i x="157" s="1"/>
        <i x="55" s="1"/>
        <i x="71" s="1"/>
        <i x="162" s="1"/>
        <i x="124" s="1"/>
        <i x="274" s="1"/>
        <i x="4" s="1"/>
        <i x="305" s="1"/>
        <i x="9" s="1"/>
        <i x="295" s="1"/>
        <i x="205" s="1"/>
        <i x="132" s="1"/>
        <i x="13" s="1"/>
        <i x="5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EBF82B43-E414-4C3E-ABF1-ED6D9E8DCBB9}" sourceName="State">
  <data>
    <tabular pivotCacheId="562823757">
      <items count="19">
        <i x="4" s="1"/>
        <i x="6" s="1"/>
        <i x="1" s="1"/>
        <i x="17" s="1"/>
        <i x="5" s="1"/>
        <i x="11" s="1"/>
        <i x="7" s="1"/>
        <i x="16" s="1"/>
        <i x="13" s="1"/>
        <i x="9" s="1"/>
        <i x="3" s="1"/>
        <i x="2" s="1"/>
        <i x="10" s="1"/>
        <i x="8" s="1"/>
        <i x="12" s="1"/>
        <i x="18" s="1"/>
        <i x="14" s="1"/>
        <i x="0" s="1"/>
        <i x="1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193CD29D-D5A6-495A-9277-294457301251}" sourceName="City">
  <data>
    <tabular pivotCacheId="562823757">
      <items count="25">
        <i x="8" s="1"/>
        <i x="22" s="1"/>
        <i x="16" s="1"/>
        <i x="12" s="1"/>
        <i x="11" s="1"/>
        <i x="18" s="1"/>
        <i x="1" s="1"/>
        <i x="24" s="1"/>
        <i x="23" s="1"/>
        <i x="6" s="1"/>
        <i x="3" s="1"/>
        <i x="21" s="1"/>
        <i x="20" s="1"/>
        <i x="14" s="1"/>
        <i x="19" s="1"/>
        <i x="17" s="1"/>
        <i x="0" s="1"/>
        <i x="2" s="1"/>
        <i x="9" s="1"/>
        <i x="4" s="1"/>
        <i x="5" s="1"/>
        <i x="10" s="1"/>
        <i x="7" s="1"/>
        <i x="13" s="1"/>
        <i x="15"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Name4" xr10:uid="{6CC83C74-27B1-47DD-947D-0452D6498B80}" sourceName="CustomerName">
  <pivotTables>
    <pivotTable tabId="7" name="PivotTable21"/>
    <pivotTable tabId="7" name="PivotTable20"/>
    <pivotTable tabId="7" name="PivotTable19"/>
    <pivotTable tabId="7" name="PivotTable18"/>
    <pivotTable tabId="7" name="PivotTable17"/>
    <pivotTable tabId="7" name="PivotTable16"/>
    <pivotTable tabId="7" name="PivotTable15"/>
    <pivotTable tabId="7" name="PivotTable14"/>
    <pivotTable tabId="7" name="PivotTable13"/>
  </pivotTables>
  <data>
    <tabular pivotCacheId="562823757">
      <items count="336">
        <i x="314" s="1"/>
        <i x="44" s="1"/>
        <i x="18" s="1"/>
        <i x="215" s="1"/>
        <i x="189" s="1"/>
        <i x="50" s="1"/>
        <i x="293" s="1"/>
        <i x="87" s="1"/>
        <i x="224" s="1"/>
        <i x="74" s="1"/>
        <i x="216" s="1"/>
        <i x="96" s="1"/>
        <i x="105" s="1"/>
        <i x="119" s="1"/>
        <i x="326" s="1"/>
        <i x="260" s="1"/>
        <i x="322" s="1"/>
        <i x="307" s="1"/>
        <i x="195" s="1"/>
        <i x="155" s="1"/>
        <i x="78" s="1"/>
        <i x="152" s="1"/>
        <i x="120" s="1"/>
        <i x="165" s="1"/>
        <i x="17" s="1"/>
        <i x="95" s="1"/>
        <i x="138" s="1"/>
        <i x="331" s="1"/>
        <i x="227" s="1"/>
        <i x="128" s="1"/>
        <i x="253" s="1"/>
        <i x="218" s="1"/>
        <i x="79" s="1"/>
        <i x="73" s="1"/>
        <i x="266" s="1"/>
        <i x="127" s="1"/>
        <i x="309" s="1"/>
        <i x="330" s="1"/>
        <i x="51" s="1"/>
        <i x="81" s="1"/>
        <i x="182" s="1"/>
        <i x="275" s="1"/>
        <i x="185" s="1"/>
        <i x="217" s="1"/>
        <i x="283" s="1"/>
        <i x="280" s="1"/>
        <i x="54" s="1"/>
        <i x="254" s="1"/>
        <i x="56" s="1"/>
        <i x="290" s="1"/>
        <i x="299" s="1"/>
        <i x="197" s="1"/>
        <i x="271" s="1"/>
        <i x="328" s="1"/>
        <i x="335" s="1"/>
        <i x="145" s="1"/>
        <i x="104" s="1"/>
        <i x="141" s="1"/>
        <i x="140" s="1"/>
        <i x="294" s="1"/>
        <i x="75" s="1"/>
        <i x="192" s="1"/>
        <i x="161" s="1"/>
        <i x="57" s="1"/>
        <i x="244" s="1"/>
        <i x="242" s="1"/>
        <i x="27" s="1"/>
        <i x="12" s="1"/>
        <i x="202" s="1"/>
        <i x="297" s="1"/>
        <i x="156" s="1"/>
        <i x="61" s="1"/>
        <i x="126" s="1"/>
        <i x="237" s="1"/>
        <i x="200" s="1"/>
        <i x="118" s="1"/>
        <i x="85" s="1"/>
        <i x="259" s="1"/>
        <i x="68" s="1"/>
        <i x="190" s="1"/>
        <i x="181" s="1"/>
        <i x="135" s="1"/>
        <i x="269" s="1"/>
        <i x="312" s="1"/>
        <i x="334" s="1"/>
        <i x="304" s="1"/>
        <i x="172" s="1"/>
        <i x="221" s="1"/>
        <i x="163" s="1"/>
        <i x="210" s="1"/>
        <i x="58" s="1"/>
        <i x="106" s="1"/>
        <i x="308" s="1"/>
        <i x="212" s="1"/>
        <i x="49" s="1"/>
        <i x="16" s="1"/>
        <i x="277" s="1"/>
        <i x="222" s="1"/>
        <i x="53" s="1"/>
        <i x="3" s="1"/>
        <i x="270" s="1"/>
        <i x="320" s="1"/>
        <i x="0" s="1"/>
        <i x="92" s="1"/>
        <i x="154" s="1"/>
        <i x="168" s="1"/>
        <i x="333" s="1"/>
        <i x="34" s="1"/>
        <i x="21" s="1"/>
        <i x="100" s="1"/>
        <i x="88" s="1"/>
        <i x="310" s="1"/>
        <i x="264" s="1"/>
        <i x="23" s="1"/>
        <i x="47" s="1"/>
        <i x="231" s="1"/>
        <i x="29" s="1"/>
        <i x="281" s="1"/>
        <i x="324" s="1"/>
        <i x="113" s="1"/>
        <i x="272" s="1"/>
        <i x="102" s="1"/>
        <i x="187" s="1"/>
        <i x="164" s="1"/>
        <i x="220" s="1"/>
        <i x="209" s="1"/>
        <i x="211" s="1"/>
        <i x="89" s="1"/>
        <i x="151" s="1"/>
        <i x="144" s="1"/>
        <i x="158" s="1"/>
        <i x="77" s="1"/>
        <i x="121" s="1"/>
        <i x="201" s="1"/>
        <i x="300" s="1"/>
        <i x="282" s="1"/>
        <i x="64" s="1"/>
        <i x="207" s="1"/>
        <i x="188" s="1"/>
        <i x="14" s="1"/>
        <i x="26" s="1"/>
        <i x="2" s="1"/>
        <i x="1" s="1"/>
        <i x="35" s="1"/>
        <i x="66" s="1"/>
        <i x="284" s="1"/>
        <i x="174" s="1"/>
        <i x="228" s="1"/>
        <i x="317" s="1"/>
        <i x="125" s="1"/>
        <i x="198" s="1"/>
        <i x="59" s="1"/>
        <i x="40" s="1"/>
        <i x="229" s="1"/>
        <i x="267" s="1"/>
        <i x="143" s="1"/>
        <i x="136" s="1"/>
        <i x="256" s="1"/>
        <i x="110" s="1"/>
        <i x="99" s="1"/>
        <i x="31" s="1"/>
        <i x="139" s="1"/>
        <i x="149" s="1"/>
        <i x="63" s="1"/>
        <i x="241" s="1"/>
        <i x="311" s="1"/>
        <i x="115" s="1"/>
        <i x="208" s="1"/>
        <i x="298" s="1"/>
        <i x="72" s="1"/>
        <i x="245" s="1"/>
        <i x="122" s="1"/>
        <i x="323" s="1"/>
        <i x="238" s="1"/>
        <i x="160" s="1"/>
        <i x="32" s="1"/>
        <i x="173" s="1"/>
        <i x="179" s="1"/>
        <i x="301" s="1"/>
        <i x="148" s="1"/>
        <i x="292" s="1"/>
        <i x="150" s="1"/>
        <i x="129" s="1"/>
        <i x="214" s="1"/>
        <i x="91" s="1"/>
        <i x="303" s="1"/>
        <i x="70" s="1"/>
        <i x="223" s="1"/>
        <i x="60" s="1"/>
        <i x="206" s="1"/>
        <i x="289" s="1"/>
        <i x="159" s="1"/>
        <i x="76" s="1"/>
        <i x="48" s="1"/>
        <i x="133" s="1"/>
        <i x="287" s="1"/>
        <i x="101" s="1"/>
        <i x="41" s="1"/>
        <i x="247" s="1"/>
        <i x="319" s="1"/>
        <i x="315" s="1"/>
        <i x="131" s="1"/>
        <i x="137" s="1"/>
        <i x="225" s="1"/>
        <i x="19" s="1"/>
        <i x="38" s="1"/>
        <i x="230" s="1"/>
        <i x="250" s="1"/>
        <i x="97" s="1"/>
        <i x="112" s="1"/>
        <i x="62" s="1"/>
        <i x="191" s="1"/>
        <i x="306" s="1"/>
        <i x="103" s="1"/>
        <i x="278" s="1"/>
        <i x="43" s="1"/>
        <i x="147" s="1"/>
        <i x="325" s="1"/>
        <i x="276" s="1"/>
        <i x="240" s="1"/>
        <i x="183" s="1"/>
        <i x="302" s="1"/>
        <i x="255" s="1"/>
        <i x="114" s="1"/>
        <i x="67" s="1"/>
        <i x="232" s="1"/>
        <i x="262" s="1"/>
        <i x="15" s="1"/>
        <i x="332" s="1"/>
        <i x="107" s="1"/>
        <i x="166" s="1"/>
        <i x="196" s="1"/>
        <i x="98" s="1"/>
        <i x="313" s="1"/>
        <i x="180" s="1"/>
        <i x="329" s="1"/>
        <i x="258" s="1"/>
        <i x="285" s="1"/>
        <i x="234" s="1"/>
        <i x="65" s="1"/>
        <i x="175" s="1"/>
        <i x="177" s="1"/>
        <i x="108" s="1"/>
        <i x="249" s="1"/>
        <i x="251" s="1"/>
        <i x="7" s="1"/>
        <i x="176" s="1"/>
        <i x="25" s="1"/>
        <i x="252" s="1"/>
        <i x="46" s="1"/>
        <i x="82" s="1"/>
        <i x="246" s="1"/>
        <i x="116" s="1"/>
        <i x="36" s="1"/>
        <i x="117" s="1"/>
        <i x="37" s="1"/>
        <i x="226" s="1"/>
        <i x="171" s="1"/>
        <i x="8" s="1"/>
        <i x="6" s="1"/>
        <i x="80" s="1"/>
        <i x="142" s="1"/>
        <i x="268" s="1"/>
        <i x="109" s="1"/>
        <i x="22" s="1"/>
        <i x="84" s="1"/>
        <i x="33" s="1"/>
        <i x="11" s="1"/>
        <i x="20" s="1"/>
        <i x="30" s="1"/>
        <i x="123" s="1"/>
        <i x="261" s="1"/>
        <i x="86" s="1"/>
        <i x="279" s="1"/>
        <i x="42" s="1"/>
        <i x="296" s="1"/>
        <i x="265" s="1"/>
        <i x="199" s="1"/>
        <i x="316" s="1"/>
        <i x="111" s="1"/>
        <i x="273" s="1"/>
        <i x="169" s="1"/>
        <i x="286" s="1"/>
        <i x="153" s="1"/>
        <i x="94" s="1"/>
        <i x="170" s="1"/>
        <i x="186" s="1"/>
        <i x="213" s="1"/>
        <i x="236" s="1"/>
        <i x="5" s="1"/>
        <i x="194" s="1"/>
        <i x="24" s="1"/>
        <i x="233" s="1"/>
        <i x="28" s="1"/>
        <i x="204" s="1"/>
        <i x="134" s="1"/>
        <i x="203" s="1"/>
        <i x="243" s="1"/>
        <i x="327" s="1"/>
        <i x="39" s="1"/>
        <i x="239" s="1"/>
        <i x="167" s="1"/>
        <i x="93" s="1"/>
        <i x="288" s="1"/>
        <i x="178" s="1"/>
        <i x="184" s="1"/>
        <i x="321" s="1"/>
        <i x="235" s="1"/>
        <i x="130" s="1"/>
        <i x="83" s="1"/>
        <i x="257" s="1"/>
        <i x="318" s="1"/>
        <i x="146" s="1"/>
        <i x="90" s="1"/>
        <i x="69" s="1"/>
        <i x="193" s="1"/>
        <i x="219" s="1"/>
        <i x="291" s="1"/>
        <i x="263" s="1"/>
        <i x="10" s="1"/>
        <i x="45" s="1"/>
        <i x="248" s="1"/>
        <i x="157" s="1"/>
        <i x="55" s="1"/>
        <i x="71" s="1"/>
        <i x="162" s="1"/>
        <i x="124" s="1"/>
        <i x="274" s="1"/>
        <i x="4" s="1"/>
        <i x="305" s="1"/>
        <i x="9" s="1"/>
        <i x="295" s="1"/>
        <i x="205" s="1"/>
        <i x="132" s="1"/>
        <i x="13" s="1"/>
        <i x="5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4" xr10:uid="{2663F8CC-09D7-418C-82FE-6A54DD5C3FE0}" sourceName="State">
  <pivotTables>
    <pivotTable tabId="7" name="PivotTable21"/>
    <pivotTable tabId="7" name="PivotTable20"/>
    <pivotTable tabId="7" name="PivotTable19"/>
    <pivotTable tabId="7" name="PivotTable18"/>
    <pivotTable tabId="7" name="PivotTable17"/>
    <pivotTable tabId="7" name="PivotTable16"/>
    <pivotTable tabId="7" name="PivotTable15"/>
    <pivotTable tabId="7" name="PivotTable14"/>
    <pivotTable tabId="7" name="PivotTable13"/>
  </pivotTables>
  <data>
    <tabular pivotCacheId="562823757">
      <items count="19">
        <i x="4" s="1"/>
        <i x="6" s="1"/>
        <i x="1" s="1"/>
        <i x="17" s="1"/>
        <i x="5" s="1"/>
        <i x="11" s="1"/>
        <i x="7" s="1"/>
        <i x="16" s="1"/>
        <i x="13" s="1"/>
        <i x="9" s="1"/>
        <i x="3" s="1"/>
        <i x="2" s="1"/>
        <i x="10" s="1"/>
        <i x="8" s="1"/>
        <i x="12" s="1"/>
        <i x="18" s="1"/>
        <i x="14" s="1"/>
        <i x="0" s="1"/>
        <i x="15"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4" xr10:uid="{08F6B996-3487-4D99-9F3E-8FDF9BD2EB95}" sourceName="City">
  <pivotTables>
    <pivotTable tabId="7" name="PivotTable21"/>
    <pivotTable tabId="7" name="PivotTable20"/>
    <pivotTable tabId="7" name="PivotTable19"/>
    <pivotTable tabId="7" name="PivotTable18"/>
    <pivotTable tabId="7" name="PivotTable17"/>
    <pivotTable tabId="7" name="PivotTable16"/>
    <pivotTable tabId="7" name="PivotTable15"/>
    <pivotTable tabId="7" name="PivotTable14"/>
    <pivotTable tabId="7" name="PivotTable13"/>
  </pivotTables>
  <data>
    <tabular pivotCacheId="562823757">
      <items count="25">
        <i x="8" s="1"/>
        <i x="22" s="1"/>
        <i x="16" s="1"/>
        <i x="12" s="1"/>
        <i x="11" s="1"/>
        <i x="18" s="1"/>
        <i x="1" s="1"/>
        <i x="24" s="1"/>
        <i x="23" s="1"/>
        <i x="6" s="1"/>
        <i x="3" s="1"/>
        <i x="21" s="1"/>
        <i x="20" s="1"/>
        <i x="14" s="1"/>
        <i x="19" s="1"/>
        <i x="17" s="1"/>
        <i x="0" s="1"/>
        <i x="2" s="1"/>
        <i x="9" s="1"/>
        <i x="4" s="1"/>
        <i x="5" s="1"/>
        <i x="10" s="1"/>
        <i x="7" s="1"/>
        <i x="13" s="1"/>
        <i x="1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Name" xr10:uid="{58E5F9D1-0710-46E1-BEA8-95EA18277080}" cache="Slicer_CustomerName" caption="CustomerName" rowHeight="234950"/>
  <slicer name="State" xr10:uid="{014A7DDC-79FA-4D49-860B-DFC4A25E84D0}" cache="Slicer_State" caption="State" rowHeight="234950"/>
  <slicer name="City" xr10:uid="{039690C2-F410-45D0-B73B-6E233C0BAEF1}" cache="Slicer_City" caption="City"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Name 1" xr10:uid="{3F88BD63-B184-4382-B344-104A1ECEC9D8}" cache="Slicer_CustomerName4" caption="CustomerName" columnCount="2" rowHeight="234950"/>
  <slicer name="State 1" xr10:uid="{EB9C9BB7-5A61-4B59-837D-5D6D9D210805}" cache="Slicer_State4" caption="State" columnCount="2" rowHeight="234950"/>
  <slicer name="City 1" xr10:uid="{3690564E-B966-435B-B486-49DB7CA3780C}" cache="Slicer_City4" caption="City" startItem="16" columnCount="2"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Name 2" xr10:uid="{7DC1A20B-C1D0-4ED6-96ED-EC99260BECAC}" cache="Slicer_CustomerName4" caption="CustomerName" columnCount="2" rowHeight="234950"/>
  <slicer name="State 2" xr10:uid="{BA7477D2-A8C3-449B-94B3-919588489FCD}" cache="Slicer_State4" caption="State" columnCount="2" rowHeight="234950"/>
  <slicer name="City 2" xr10:uid="{91F1F558-F3A6-486E-B0B3-AE5BB6757ED9}" cache="Slicer_City4" caption="City" columnCount="2"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Name 3" xr10:uid="{6E9C92AA-1BC7-4E77-AF14-B195787BCCAB}" cache="Slicer_CustomerName4" caption="CustomerName" columnCount="2" rowHeight="234950"/>
  <slicer name="State 3" xr10:uid="{C3EBF211-9FAE-4FCF-B409-8C5FDAE1FCA6}" cache="Slicer_State4" caption="State" columnCount="2" rowHeight="234950"/>
  <slicer name="City 3" xr10:uid="{944DE605-7EE5-4994-97EA-9915ECF1B15D}" cache="Slicer_City4" caption="City" columnCount="2" rowHeight="2349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Name 4" xr10:uid="{C75A8B71-F099-490E-942F-2F5789679876}" cache="Slicer_CustomerName4" caption="CustomerName" columnCount="2" rowHeight="234950"/>
  <slicer name="State 4" xr10:uid="{78B7B4DB-7693-42AF-896F-28F884094B45}" cache="Slicer_State4" caption="State" columnCount="2" rowHeight="234950"/>
  <slicer name="City 4" xr10:uid="{90301A95-507B-4ED0-B916-7C3F1EBB15A9}" cache="Slicer_City4" caption="City" columnCount="2"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C73ED31-4F9F-42F6-9875-33C1CD2C4905}" name="Orders" displayName="Orders" ref="A1:E501" tableType="queryTable" totalsRowShown="0" headerRowDxfId="9" dataDxfId="7" headerRowBorderDxfId="8" tableBorderDxfId="6" totalsRowBorderDxfId="5">
  <tableColumns count="5">
    <tableColumn id="1" xr3:uid="{17AD0EF7-A500-49CB-A097-91BA834BDD08}" uniqueName="1" name="Order ID" queryTableFieldId="1" dataDxfId="4"/>
    <tableColumn id="2" xr3:uid="{D212BF2C-8133-44D5-B2B9-5122ABE96459}" uniqueName="2" name="Order Date" queryTableFieldId="2" dataDxfId="3"/>
    <tableColumn id="3" xr3:uid="{B00B9078-F1A2-4DE8-B71B-044AEC2E43BB}" uniqueName="3" name="CustomerName" queryTableFieldId="3" dataDxfId="2"/>
    <tableColumn id="4" xr3:uid="{45C538D8-C1F3-4993-8542-36582243418D}" uniqueName="4" name="State" queryTableFieldId="4" dataDxfId="1"/>
    <tableColumn id="5" xr3:uid="{11CF2DEB-B89A-46C8-9791-870F0D3A8CD4}" uniqueName="5" name="City" queryTableFieldId="5"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D0D2C5A3-E49D-4D5C-BF08-E0F3D69F5F65}" sourceName="Order Date">
  <state minimalRefreshVersion="6" lastRefreshVersion="6" pivotCacheId="562823757" filterType="unknown">
    <bounds startDate="2018-01-01T00:00:00" endDate="2020-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4" xr10:uid="{F915A03F-D247-489F-AC03-9D69D4C4B521}" sourceName="Order Date">
  <pivotTables>
    <pivotTable tabId="7" name="PivotTable21"/>
    <pivotTable tabId="7" name="PivotTable20"/>
    <pivotTable tabId="7" name="PivotTable19"/>
    <pivotTable tabId="7" name="PivotTable18"/>
    <pivotTable tabId="7" name="PivotTable17"/>
    <pivotTable tabId="7" name="PivotTable16"/>
    <pivotTable tabId="7" name="PivotTable15"/>
    <pivotTable tabId="7" name="PivotTable14"/>
    <pivotTable tabId="7" name="PivotTable13"/>
  </pivotTables>
  <state minimalRefreshVersion="6" lastRefreshVersion="6" pivotCacheId="562823757" filterType="unknown">
    <bounds startDate="2018-01-01T00:00:00" endDate="2020-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CDABAA0F-586E-4934-893B-C00150BBBEC4}" cache="NativeTimeline_Order_Date" caption="Order Date" level="2" selectionLevel="2" scrollPosition="2018-01-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A7F91B62-CD40-4638-AF96-CD6825DC57A3}" cache="NativeTimeline_Order_Date4" caption="Order Date" showSelectionLabel="0" showHorizontalScrollbar="0" level="2" selectionLevel="2" scrollPosition="2018-01-01T00:00:00"/>
</timelines>
</file>

<file path=xl/timelines/timeline3.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2" xr10:uid="{34439B6D-27B9-41DD-8DAC-03C44B691F03}" cache="NativeTimeline_Order_Date4" caption="Order Date" showSelectionLabel="0" showHorizontalScrollbar="0" level="2" selectionLevel="2" scrollPosition="2018-01-01T00:00:00"/>
</timelines>
</file>

<file path=xl/timelines/timeline4.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3" xr10:uid="{2CDDBD0C-4878-4B0F-91EB-652E043638D5}" cache="NativeTimeline_Order_Date4" caption="Order Date" showSelectionLabel="0" showHorizontalScrollbar="0" level="2" selectionLevel="2" scrollPosition="2018-01-01T00:00:00"/>
</timelines>
</file>

<file path=xl/timelines/timeline5.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4" xr10:uid="{F2CE7703-72F6-42A4-93F3-17D7FA847D83}" cache="NativeTimeline_Order_Date4" caption="Order Date" showSelectionLabel="0" showHorizontalScrollbar="0" level="2" selectionLevel="2" scrollPosition="2018-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11/relationships/timeline" Target="../timelines/timeline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3" Type="http://schemas.microsoft.com/office/2011/relationships/timeline" Target="../timelines/timeline3.xml"/><Relationship Id="rId2" Type="http://schemas.microsoft.com/office/2007/relationships/slicer" Target="../slicers/slicer3.xml"/><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3" Type="http://schemas.microsoft.com/office/2011/relationships/timeline" Target="../timelines/timeline4.xml"/><Relationship Id="rId2" Type="http://schemas.microsoft.com/office/2007/relationships/slicer" Target="../slicers/slicer4.xml"/><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3" Type="http://schemas.microsoft.com/office/2011/relationships/timeline" Target="../timelines/timeline5.xml"/><Relationship Id="rId2" Type="http://schemas.microsoft.com/office/2007/relationships/slicer" Target="../slicers/slicer5.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9AAD51-0A3B-481A-B10A-76E565E65D65}">
  <dimension ref="A1:E501"/>
  <sheetViews>
    <sheetView workbookViewId="0">
      <selection activeCell="E501" sqref="E501"/>
    </sheetView>
  </sheetViews>
  <sheetFormatPr defaultRowHeight="14.4" x14ac:dyDescent="0.3"/>
  <cols>
    <col min="1" max="1" width="15.109375" customWidth="1"/>
    <col min="2" max="2" width="18.109375" customWidth="1"/>
    <col min="3" max="3" width="18.33203125" customWidth="1"/>
    <col min="4" max="4" width="17.88671875" customWidth="1"/>
    <col min="5" max="5" width="19.5546875" customWidth="1"/>
  </cols>
  <sheetData>
    <row r="1" spans="1:5" x14ac:dyDescent="0.3">
      <c r="A1" s="1" t="s">
        <v>0</v>
      </c>
      <c r="B1" s="2" t="s">
        <v>1</v>
      </c>
      <c r="C1" s="2" t="s">
        <v>2</v>
      </c>
      <c r="D1" s="2" t="s">
        <v>3</v>
      </c>
      <c r="E1" s="3" t="s">
        <v>4</v>
      </c>
    </row>
    <row r="2" spans="1:5" x14ac:dyDescent="0.3">
      <c r="A2" s="4" t="s">
        <v>5</v>
      </c>
      <c r="B2" s="5">
        <v>43169</v>
      </c>
      <c r="C2" s="6" t="s">
        <v>6</v>
      </c>
      <c r="D2" s="6" t="s">
        <v>7</v>
      </c>
      <c r="E2" s="7" t="s">
        <v>8</v>
      </c>
    </row>
    <row r="3" spans="1:5" x14ac:dyDescent="0.3">
      <c r="A3" s="4" t="s">
        <v>9</v>
      </c>
      <c r="B3" s="5">
        <v>43134</v>
      </c>
      <c r="C3" s="6" t="s">
        <v>10</v>
      </c>
      <c r="D3" s="6" t="s">
        <v>11</v>
      </c>
      <c r="E3" s="7" t="s">
        <v>11</v>
      </c>
    </row>
    <row r="4" spans="1:5" x14ac:dyDescent="0.3">
      <c r="A4" s="4" t="s">
        <v>12</v>
      </c>
      <c r="B4" s="5">
        <v>43124</v>
      </c>
      <c r="C4" s="6" t="s">
        <v>13</v>
      </c>
      <c r="D4" s="6" t="s">
        <v>7</v>
      </c>
      <c r="E4" s="7" t="s">
        <v>8</v>
      </c>
    </row>
    <row r="5" spans="1:5" x14ac:dyDescent="0.3">
      <c r="A5" s="4" t="s">
        <v>14</v>
      </c>
      <c r="B5" s="5">
        <v>43461</v>
      </c>
      <c r="C5" s="6" t="s">
        <v>15</v>
      </c>
      <c r="D5" s="6" t="s">
        <v>16</v>
      </c>
      <c r="E5" s="7" t="s">
        <v>17</v>
      </c>
    </row>
    <row r="6" spans="1:5" x14ac:dyDescent="0.3">
      <c r="A6" s="4" t="s">
        <v>18</v>
      </c>
      <c r="B6" s="5">
        <v>43333</v>
      </c>
      <c r="C6" s="6" t="s">
        <v>19</v>
      </c>
      <c r="D6" s="6" t="s">
        <v>20</v>
      </c>
      <c r="E6" s="7" t="s">
        <v>21</v>
      </c>
    </row>
    <row r="7" spans="1:5" x14ac:dyDescent="0.3">
      <c r="A7" s="4" t="s">
        <v>22</v>
      </c>
      <c r="B7" s="5">
        <v>43121</v>
      </c>
      <c r="C7" s="6" t="s">
        <v>23</v>
      </c>
      <c r="D7" s="6" t="s">
        <v>7</v>
      </c>
      <c r="E7" s="7" t="s">
        <v>24</v>
      </c>
    </row>
    <row r="8" spans="1:5" x14ac:dyDescent="0.3">
      <c r="A8" s="4" t="s">
        <v>25</v>
      </c>
      <c r="B8" s="5">
        <v>43116</v>
      </c>
      <c r="C8" s="6" t="s">
        <v>26</v>
      </c>
      <c r="D8" s="6" t="s">
        <v>16</v>
      </c>
      <c r="E8" s="7" t="s">
        <v>27</v>
      </c>
    </row>
    <row r="9" spans="1:5" x14ac:dyDescent="0.3">
      <c r="A9" s="4" t="s">
        <v>28</v>
      </c>
      <c r="B9" s="5">
        <v>43186</v>
      </c>
      <c r="C9" s="6" t="s">
        <v>29</v>
      </c>
      <c r="D9" s="6" t="s">
        <v>16</v>
      </c>
      <c r="E9" s="7" t="s">
        <v>27</v>
      </c>
    </row>
    <row r="10" spans="1:5" x14ac:dyDescent="0.3">
      <c r="A10" s="4" t="s">
        <v>30</v>
      </c>
      <c r="B10" s="5">
        <v>43374</v>
      </c>
      <c r="C10" s="6" t="s">
        <v>31</v>
      </c>
      <c r="D10" s="6" t="s">
        <v>32</v>
      </c>
      <c r="E10" s="7" t="s">
        <v>33</v>
      </c>
    </row>
    <row r="11" spans="1:5" x14ac:dyDescent="0.3">
      <c r="A11" s="4" t="s">
        <v>34</v>
      </c>
      <c r="B11" s="5">
        <v>43191</v>
      </c>
      <c r="C11" s="6" t="s">
        <v>35</v>
      </c>
      <c r="D11" s="6" t="s">
        <v>16</v>
      </c>
      <c r="E11" s="7" t="s">
        <v>27</v>
      </c>
    </row>
    <row r="12" spans="1:5" x14ac:dyDescent="0.3">
      <c r="A12" s="4" t="s">
        <v>36</v>
      </c>
      <c r="B12" s="5">
        <v>43417</v>
      </c>
      <c r="C12" s="6" t="s">
        <v>37</v>
      </c>
      <c r="D12" s="6" t="s">
        <v>16</v>
      </c>
      <c r="E12" s="7" t="s">
        <v>17</v>
      </c>
    </row>
    <row r="13" spans="1:5" x14ac:dyDescent="0.3">
      <c r="A13" s="4" t="s">
        <v>38</v>
      </c>
      <c r="B13" s="5">
        <v>43121</v>
      </c>
      <c r="C13" s="6" t="s">
        <v>39</v>
      </c>
      <c r="D13" s="6" t="s">
        <v>40</v>
      </c>
      <c r="E13" s="7" t="s">
        <v>41</v>
      </c>
    </row>
    <row r="14" spans="1:5" x14ac:dyDescent="0.3">
      <c r="A14" s="4" t="s">
        <v>42</v>
      </c>
      <c r="B14" s="5">
        <v>43189</v>
      </c>
      <c r="C14" s="6" t="s">
        <v>43</v>
      </c>
      <c r="D14" s="6" t="s">
        <v>16</v>
      </c>
      <c r="E14" s="7" t="s">
        <v>17</v>
      </c>
    </row>
    <row r="15" spans="1:5" x14ac:dyDescent="0.3">
      <c r="A15" s="4" t="s">
        <v>44</v>
      </c>
      <c r="B15" s="5">
        <v>43135</v>
      </c>
      <c r="C15" s="6" t="s">
        <v>45</v>
      </c>
      <c r="D15" s="6" t="s">
        <v>16</v>
      </c>
      <c r="E15" s="7" t="s">
        <v>27</v>
      </c>
    </row>
    <row r="16" spans="1:5" x14ac:dyDescent="0.3">
      <c r="A16" s="4" t="s">
        <v>46</v>
      </c>
      <c r="B16" s="5">
        <v>43429</v>
      </c>
      <c r="C16" s="6" t="s">
        <v>47</v>
      </c>
      <c r="D16" s="6" t="s">
        <v>7</v>
      </c>
      <c r="E16" s="7" t="s">
        <v>8</v>
      </c>
    </row>
    <row r="17" spans="1:5" x14ac:dyDescent="0.3">
      <c r="A17" s="4" t="s">
        <v>48</v>
      </c>
      <c r="B17" s="5">
        <v>43337</v>
      </c>
      <c r="C17" s="6" t="s">
        <v>10</v>
      </c>
      <c r="D17" s="6" t="s">
        <v>7</v>
      </c>
      <c r="E17" s="7" t="s">
        <v>8</v>
      </c>
    </row>
    <row r="18" spans="1:5" x14ac:dyDescent="0.3">
      <c r="A18" s="4" t="s">
        <v>49</v>
      </c>
      <c r="B18" s="5">
        <v>43435</v>
      </c>
      <c r="C18" s="6" t="s">
        <v>19</v>
      </c>
      <c r="D18" s="6" t="s">
        <v>7</v>
      </c>
      <c r="E18" s="7" t="s">
        <v>24</v>
      </c>
    </row>
    <row r="19" spans="1:5" x14ac:dyDescent="0.3">
      <c r="A19" s="4" t="s">
        <v>50</v>
      </c>
      <c r="B19" s="5">
        <v>43391</v>
      </c>
      <c r="C19" s="6" t="s">
        <v>51</v>
      </c>
      <c r="D19" s="6" t="s">
        <v>16</v>
      </c>
      <c r="E19" s="7" t="s">
        <v>17</v>
      </c>
    </row>
    <row r="20" spans="1:5" x14ac:dyDescent="0.3">
      <c r="A20" s="4" t="s">
        <v>52</v>
      </c>
      <c r="B20" s="5">
        <v>43412</v>
      </c>
      <c r="C20" s="6" t="s">
        <v>53</v>
      </c>
      <c r="D20" s="6" t="s">
        <v>40</v>
      </c>
      <c r="E20" s="7" t="s">
        <v>54</v>
      </c>
    </row>
    <row r="21" spans="1:5" x14ac:dyDescent="0.3">
      <c r="A21" s="4" t="s">
        <v>55</v>
      </c>
      <c r="B21" s="5">
        <v>43419</v>
      </c>
      <c r="C21" s="6" t="s">
        <v>56</v>
      </c>
      <c r="D21" s="6" t="s">
        <v>57</v>
      </c>
      <c r="E21" s="7" t="s">
        <v>58</v>
      </c>
    </row>
    <row r="22" spans="1:5" x14ac:dyDescent="0.3">
      <c r="A22" s="4" t="s">
        <v>59</v>
      </c>
      <c r="B22" s="5">
        <v>43399</v>
      </c>
      <c r="C22" s="6" t="s">
        <v>60</v>
      </c>
      <c r="D22" s="6" t="s">
        <v>61</v>
      </c>
      <c r="E22" s="7" t="s">
        <v>62</v>
      </c>
    </row>
    <row r="23" spans="1:5" x14ac:dyDescent="0.3">
      <c r="A23" s="4" t="s">
        <v>63</v>
      </c>
      <c r="B23" s="5">
        <v>43362</v>
      </c>
      <c r="C23" s="6" t="s">
        <v>13</v>
      </c>
      <c r="D23" s="6" t="s">
        <v>7</v>
      </c>
      <c r="E23" s="7" t="s">
        <v>8</v>
      </c>
    </row>
    <row r="24" spans="1:5" x14ac:dyDescent="0.3">
      <c r="A24" s="4" t="s">
        <v>64</v>
      </c>
      <c r="B24" s="5">
        <v>43262</v>
      </c>
      <c r="C24" s="6" t="s">
        <v>65</v>
      </c>
      <c r="D24" s="6" t="s">
        <v>61</v>
      </c>
      <c r="E24" s="7" t="s">
        <v>62</v>
      </c>
    </row>
    <row r="25" spans="1:5" x14ac:dyDescent="0.3">
      <c r="A25" s="4" t="s">
        <v>66</v>
      </c>
      <c r="B25" s="5">
        <v>43149</v>
      </c>
      <c r="C25" s="6" t="s">
        <v>67</v>
      </c>
      <c r="D25" s="6" t="s">
        <v>68</v>
      </c>
      <c r="E25" s="7" t="s">
        <v>69</v>
      </c>
    </row>
    <row r="26" spans="1:5" x14ac:dyDescent="0.3">
      <c r="A26" s="4" t="s">
        <v>70</v>
      </c>
      <c r="B26" s="5">
        <v>43139</v>
      </c>
      <c r="C26" s="6" t="s">
        <v>71</v>
      </c>
      <c r="D26" s="6" t="s">
        <v>20</v>
      </c>
      <c r="E26" s="7" t="s">
        <v>72</v>
      </c>
    </row>
    <row r="27" spans="1:5" x14ac:dyDescent="0.3">
      <c r="A27" s="4" t="s">
        <v>73</v>
      </c>
      <c r="B27" s="5">
        <v>43331</v>
      </c>
      <c r="C27" s="6" t="s">
        <v>74</v>
      </c>
      <c r="D27" s="6" t="s">
        <v>75</v>
      </c>
      <c r="E27" s="7" t="s">
        <v>76</v>
      </c>
    </row>
    <row r="28" spans="1:5" x14ac:dyDescent="0.3">
      <c r="A28" s="4" t="s">
        <v>77</v>
      </c>
      <c r="B28" s="5">
        <v>43444</v>
      </c>
      <c r="C28" s="6" t="s">
        <v>78</v>
      </c>
      <c r="D28" s="6" t="s">
        <v>16</v>
      </c>
      <c r="E28" s="7" t="s">
        <v>17</v>
      </c>
    </row>
    <row r="29" spans="1:5" x14ac:dyDescent="0.3">
      <c r="A29" s="4" t="s">
        <v>79</v>
      </c>
      <c r="B29" s="5">
        <v>43104</v>
      </c>
      <c r="C29" s="6" t="s">
        <v>80</v>
      </c>
      <c r="D29" s="6" t="s">
        <v>81</v>
      </c>
      <c r="E29" s="7" t="s">
        <v>82</v>
      </c>
    </row>
    <row r="30" spans="1:5" x14ac:dyDescent="0.3">
      <c r="A30" s="4" t="s">
        <v>83</v>
      </c>
      <c r="B30" s="5">
        <v>43373</v>
      </c>
      <c r="C30" s="6" t="s">
        <v>84</v>
      </c>
      <c r="D30" s="6" t="s">
        <v>20</v>
      </c>
      <c r="E30" s="7" t="s">
        <v>21</v>
      </c>
    </row>
    <row r="31" spans="1:5" x14ac:dyDescent="0.3">
      <c r="A31" s="4" t="s">
        <v>85</v>
      </c>
      <c r="B31" s="5">
        <v>43217</v>
      </c>
      <c r="C31" s="6" t="s">
        <v>86</v>
      </c>
      <c r="D31" s="6" t="s">
        <v>20</v>
      </c>
      <c r="E31" s="7" t="s">
        <v>72</v>
      </c>
    </row>
    <row r="32" spans="1:5" x14ac:dyDescent="0.3">
      <c r="A32" s="4" t="s">
        <v>87</v>
      </c>
      <c r="B32" s="5">
        <v>43255</v>
      </c>
      <c r="C32" s="6" t="s">
        <v>88</v>
      </c>
      <c r="D32" s="6" t="s">
        <v>20</v>
      </c>
      <c r="E32" s="7" t="s">
        <v>21</v>
      </c>
    </row>
    <row r="33" spans="1:5" x14ac:dyDescent="0.3">
      <c r="A33" s="4" t="s">
        <v>89</v>
      </c>
      <c r="B33" s="5">
        <v>43447</v>
      </c>
      <c r="C33" s="6" t="s">
        <v>90</v>
      </c>
      <c r="D33" s="6" t="s">
        <v>16</v>
      </c>
      <c r="E33" s="7" t="s">
        <v>27</v>
      </c>
    </row>
    <row r="34" spans="1:5" x14ac:dyDescent="0.3">
      <c r="A34" s="4" t="s">
        <v>91</v>
      </c>
      <c r="B34" s="5">
        <v>43448</v>
      </c>
      <c r="C34" s="6" t="s">
        <v>92</v>
      </c>
      <c r="D34" s="6" t="s">
        <v>11</v>
      </c>
      <c r="E34" s="7" t="s">
        <v>11</v>
      </c>
    </row>
    <row r="35" spans="1:5" x14ac:dyDescent="0.3">
      <c r="A35" s="4" t="s">
        <v>93</v>
      </c>
      <c r="B35" s="5">
        <v>43113</v>
      </c>
      <c r="C35" s="6" t="s">
        <v>94</v>
      </c>
      <c r="D35" s="6" t="s">
        <v>20</v>
      </c>
      <c r="E35" s="7" t="s">
        <v>21</v>
      </c>
    </row>
    <row r="36" spans="1:5" x14ac:dyDescent="0.3">
      <c r="A36" s="4" t="s">
        <v>95</v>
      </c>
      <c r="B36" s="5">
        <v>43202</v>
      </c>
      <c r="C36" s="6" t="s">
        <v>96</v>
      </c>
      <c r="D36" s="6" t="s">
        <v>97</v>
      </c>
      <c r="E36" s="7" t="s">
        <v>69</v>
      </c>
    </row>
    <row r="37" spans="1:5" x14ac:dyDescent="0.3">
      <c r="A37" s="4" t="s">
        <v>98</v>
      </c>
      <c r="B37" s="5">
        <v>43457</v>
      </c>
      <c r="C37" s="6" t="s">
        <v>99</v>
      </c>
      <c r="D37" s="6" t="s">
        <v>100</v>
      </c>
      <c r="E37" s="7" t="s">
        <v>101</v>
      </c>
    </row>
    <row r="38" spans="1:5" x14ac:dyDescent="0.3">
      <c r="A38" s="4" t="s">
        <v>102</v>
      </c>
      <c r="B38" s="5">
        <v>43344</v>
      </c>
      <c r="C38" s="6" t="s">
        <v>103</v>
      </c>
      <c r="D38" s="6" t="s">
        <v>104</v>
      </c>
      <c r="E38" s="7" t="s">
        <v>105</v>
      </c>
    </row>
    <row r="39" spans="1:5" x14ac:dyDescent="0.3">
      <c r="A39" s="4" t="s">
        <v>106</v>
      </c>
      <c r="B39" s="5">
        <v>43214</v>
      </c>
      <c r="C39" s="6" t="s">
        <v>107</v>
      </c>
      <c r="D39" s="6" t="s">
        <v>75</v>
      </c>
      <c r="E39" s="7" t="s">
        <v>76</v>
      </c>
    </row>
    <row r="40" spans="1:5" x14ac:dyDescent="0.3">
      <c r="A40" s="4" t="s">
        <v>108</v>
      </c>
      <c r="B40" s="5">
        <v>43303</v>
      </c>
      <c r="C40" s="6" t="s">
        <v>109</v>
      </c>
      <c r="D40" s="6" t="s">
        <v>20</v>
      </c>
      <c r="E40" s="7" t="s">
        <v>72</v>
      </c>
    </row>
    <row r="41" spans="1:5" x14ac:dyDescent="0.3">
      <c r="A41" s="4" t="s">
        <v>110</v>
      </c>
      <c r="B41" s="5">
        <v>43109</v>
      </c>
      <c r="C41" s="6" t="s">
        <v>111</v>
      </c>
      <c r="D41" s="6" t="s">
        <v>40</v>
      </c>
      <c r="E41" s="7" t="s">
        <v>54</v>
      </c>
    </row>
    <row r="42" spans="1:5" x14ac:dyDescent="0.3">
      <c r="A42" s="4" t="s">
        <v>112</v>
      </c>
      <c r="B42" s="5">
        <v>43406</v>
      </c>
      <c r="C42" s="6" t="s">
        <v>113</v>
      </c>
      <c r="D42" s="6" t="s">
        <v>16</v>
      </c>
      <c r="E42" s="7" t="s">
        <v>27</v>
      </c>
    </row>
    <row r="43" spans="1:5" x14ac:dyDescent="0.3">
      <c r="A43" s="4" t="s">
        <v>114</v>
      </c>
      <c r="B43" s="5">
        <v>43180</v>
      </c>
      <c r="C43" s="6" t="s">
        <v>115</v>
      </c>
      <c r="D43" s="6" t="s">
        <v>20</v>
      </c>
      <c r="E43" s="7" t="s">
        <v>21</v>
      </c>
    </row>
    <row r="44" spans="1:5" x14ac:dyDescent="0.3">
      <c r="A44" s="4" t="s">
        <v>116</v>
      </c>
      <c r="B44" s="5">
        <v>43354</v>
      </c>
      <c r="C44" s="6" t="s">
        <v>117</v>
      </c>
      <c r="D44" s="6" t="s">
        <v>16</v>
      </c>
      <c r="E44" s="7" t="s">
        <v>17</v>
      </c>
    </row>
    <row r="45" spans="1:5" x14ac:dyDescent="0.3">
      <c r="A45" s="4" t="s">
        <v>118</v>
      </c>
      <c r="B45" s="5">
        <v>43293</v>
      </c>
      <c r="C45" s="6" t="s">
        <v>119</v>
      </c>
      <c r="D45" s="6" t="s">
        <v>7</v>
      </c>
      <c r="E45" s="7" t="s">
        <v>120</v>
      </c>
    </row>
    <row r="46" spans="1:5" x14ac:dyDescent="0.3">
      <c r="A46" s="4" t="s">
        <v>121</v>
      </c>
      <c r="B46" s="5">
        <v>43185</v>
      </c>
      <c r="C46" s="6" t="s">
        <v>67</v>
      </c>
      <c r="D46" s="6" t="s">
        <v>68</v>
      </c>
      <c r="E46" s="7" t="s">
        <v>69</v>
      </c>
    </row>
    <row r="47" spans="1:5" x14ac:dyDescent="0.3">
      <c r="A47" s="4" t="s">
        <v>122</v>
      </c>
      <c r="B47" s="5">
        <v>43163</v>
      </c>
      <c r="C47" s="6" t="s">
        <v>123</v>
      </c>
      <c r="D47" s="6" t="s">
        <v>16</v>
      </c>
      <c r="E47" s="7" t="s">
        <v>27</v>
      </c>
    </row>
    <row r="48" spans="1:5" x14ac:dyDescent="0.3">
      <c r="A48" s="4" t="s">
        <v>124</v>
      </c>
      <c r="B48" s="5">
        <v>43367</v>
      </c>
      <c r="C48" s="6" t="s">
        <v>125</v>
      </c>
      <c r="D48" s="6" t="s">
        <v>20</v>
      </c>
      <c r="E48" s="7" t="s">
        <v>21</v>
      </c>
    </row>
    <row r="49" spans="1:5" x14ac:dyDescent="0.3">
      <c r="A49" s="4" t="s">
        <v>126</v>
      </c>
      <c r="B49" s="5">
        <v>43231</v>
      </c>
      <c r="C49" s="6" t="s">
        <v>127</v>
      </c>
      <c r="D49" s="6" t="s">
        <v>16</v>
      </c>
      <c r="E49" s="7" t="s">
        <v>27</v>
      </c>
    </row>
    <row r="50" spans="1:5" x14ac:dyDescent="0.3">
      <c r="A50" s="4" t="s">
        <v>128</v>
      </c>
      <c r="B50" s="5">
        <v>43198</v>
      </c>
      <c r="C50" s="6" t="s">
        <v>129</v>
      </c>
      <c r="D50" s="6" t="s">
        <v>130</v>
      </c>
      <c r="E50" s="7" t="s">
        <v>131</v>
      </c>
    </row>
    <row r="51" spans="1:5" x14ac:dyDescent="0.3">
      <c r="A51" s="4" t="s">
        <v>132</v>
      </c>
      <c r="B51" s="5">
        <v>43326</v>
      </c>
      <c r="C51" s="6" t="s">
        <v>133</v>
      </c>
      <c r="D51" s="6" t="s">
        <v>20</v>
      </c>
      <c r="E51" s="7" t="s">
        <v>21</v>
      </c>
    </row>
    <row r="52" spans="1:5" x14ac:dyDescent="0.3">
      <c r="A52" s="4" t="s">
        <v>134</v>
      </c>
      <c r="B52" s="5">
        <v>43355</v>
      </c>
      <c r="C52" s="6" t="s">
        <v>135</v>
      </c>
      <c r="D52" s="6" t="s">
        <v>16</v>
      </c>
      <c r="E52" s="7" t="s">
        <v>27</v>
      </c>
    </row>
    <row r="53" spans="1:5" x14ac:dyDescent="0.3">
      <c r="A53" s="4" t="s">
        <v>136</v>
      </c>
      <c r="B53" s="5">
        <v>43193</v>
      </c>
      <c r="C53" s="6" t="s">
        <v>137</v>
      </c>
      <c r="D53" s="6" t="s">
        <v>20</v>
      </c>
      <c r="E53" s="7" t="s">
        <v>72</v>
      </c>
    </row>
    <row r="54" spans="1:5" x14ac:dyDescent="0.3">
      <c r="A54" s="4" t="s">
        <v>138</v>
      </c>
      <c r="B54" s="5">
        <v>43166</v>
      </c>
      <c r="C54" s="6" t="s">
        <v>139</v>
      </c>
      <c r="D54" s="6" t="s">
        <v>140</v>
      </c>
      <c r="E54" s="7" t="s">
        <v>141</v>
      </c>
    </row>
    <row r="55" spans="1:5" x14ac:dyDescent="0.3">
      <c r="A55" s="4" t="s">
        <v>142</v>
      </c>
      <c r="B55" s="5">
        <v>43228</v>
      </c>
      <c r="C55" s="6" t="s">
        <v>143</v>
      </c>
      <c r="D55" s="6" t="s">
        <v>81</v>
      </c>
      <c r="E55" s="7" t="s">
        <v>82</v>
      </c>
    </row>
    <row r="56" spans="1:5" x14ac:dyDescent="0.3">
      <c r="A56" s="4" t="s">
        <v>144</v>
      </c>
      <c r="B56" s="5">
        <v>43412</v>
      </c>
      <c r="C56" s="6" t="s">
        <v>145</v>
      </c>
      <c r="D56" s="6" t="s">
        <v>20</v>
      </c>
      <c r="E56" s="7" t="s">
        <v>72</v>
      </c>
    </row>
    <row r="57" spans="1:5" x14ac:dyDescent="0.3">
      <c r="A57" s="4" t="s">
        <v>146</v>
      </c>
      <c r="B57" s="5">
        <v>43338</v>
      </c>
      <c r="C57" s="6" t="s">
        <v>147</v>
      </c>
      <c r="D57" s="6" t="s">
        <v>20</v>
      </c>
      <c r="E57" s="7" t="s">
        <v>21</v>
      </c>
    </row>
    <row r="58" spans="1:5" x14ac:dyDescent="0.3">
      <c r="A58" s="4" t="s">
        <v>148</v>
      </c>
      <c r="B58" s="5">
        <v>43135</v>
      </c>
      <c r="C58" s="6" t="s">
        <v>149</v>
      </c>
      <c r="D58" s="6" t="s">
        <v>11</v>
      </c>
      <c r="E58" s="7" t="s">
        <v>11</v>
      </c>
    </row>
    <row r="59" spans="1:5" x14ac:dyDescent="0.3">
      <c r="A59" s="4" t="s">
        <v>150</v>
      </c>
      <c r="B59" s="5">
        <v>43102</v>
      </c>
      <c r="C59" s="6" t="s">
        <v>151</v>
      </c>
      <c r="D59" s="6" t="s">
        <v>75</v>
      </c>
      <c r="E59" s="7" t="s">
        <v>76</v>
      </c>
    </row>
    <row r="60" spans="1:5" x14ac:dyDescent="0.3">
      <c r="A60" s="4" t="s">
        <v>152</v>
      </c>
      <c r="B60" s="5">
        <v>43140</v>
      </c>
      <c r="C60" s="6" t="s">
        <v>153</v>
      </c>
      <c r="D60" s="6" t="s">
        <v>104</v>
      </c>
      <c r="E60" s="7" t="s">
        <v>105</v>
      </c>
    </row>
    <row r="61" spans="1:5" x14ac:dyDescent="0.3">
      <c r="A61" s="4" t="s">
        <v>154</v>
      </c>
      <c r="B61" s="5">
        <v>43273</v>
      </c>
      <c r="C61" s="6" t="s">
        <v>155</v>
      </c>
      <c r="D61" s="6" t="s">
        <v>156</v>
      </c>
      <c r="E61" s="7" t="s">
        <v>157</v>
      </c>
    </row>
    <row r="62" spans="1:5" x14ac:dyDescent="0.3">
      <c r="A62" s="4" t="s">
        <v>158</v>
      </c>
      <c r="B62" s="5">
        <v>43402</v>
      </c>
      <c r="C62" s="6" t="s">
        <v>159</v>
      </c>
      <c r="D62" s="6" t="s">
        <v>16</v>
      </c>
      <c r="E62" s="7" t="s">
        <v>27</v>
      </c>
    </row>
    <row r="63" spans="1:5" x14ac:dyDescent="0.3">
      <c r="A63" s="4" t="s">
        <v>160</v>
      </c>
      <c r="B63" s="5">
        <v>43191</v>
      </c>
      <c r="C63" s="6" t="s">
        <v>161</v>
      </c>
      <c r="D63" s="6" t="s">
        <v>40</v>
      </c>
      <c r="E63" s="7" t="s">
        <v>54</v>
      </c>
    </row>
    <row r="64" spans="1:5" x14ac:dyDescent="0.3">
      <c r="A64" s="4" t="s">
        <v>162</v>
      </c>
      <c r="B64" s="5">
        <v>43427</v>
      </c>
      <c r="C64" s="6" t="s">
        <v>163</v>
      </c>
      <c r="D64" s="6" t="s">
        <v>20</v>
      </c>
      <c r="E64" s="7" t="s">
        <v>21</v>
      </c>
    </row>
    <row r="65" spans="1:5" x14ac:dyDescent="0.3">
      <c r="A65" s="4" t="s">
        <v>164</v>
      </c>
      <c r="B65" s="5">
        <v>43151</v>
      </c>
      <c r="C65" s="6" t="s">
        <v>165</v>
      </c>
      <c r="D65" s="6" t="s">
        <v>32</v>
      </c>
      <c r="E65" s="7" t="s">
        <v>33</v>
      </c>
    </row>
    <row r="66" spans="1:5" x14ac:dyDescent="0.3">
      <c r="A66" s="4" t="s">
        <v>166</v>
      </c>
      <c r="B66" s="5">
        <v>43120</v>
      </c>
      <c r="C66" s="6" t="s">
        <v>167</v>
      </c>
      <c r="D66" s="6" t="s">
        <v>16</v>
      </c>
      <c r="E66" s="7" t="s">
        <v>27</v>
      </c>
    </row>
    <row r="67" spans="1:5" x14ac:dyDescent="0.3">
      <c r="A67" s="4" t="s">
        <v>168</v>
      </c>
      <c r="B67" s="5">
        <v>43252</v>
      </c>
      <c r="C67" s="6" t="s">
        <v>169</v>
      </c>
      <c r="D67" s="6" t="s">
        <v>100</v>
      </c>
      <c r="E67" s="7" t="s">
        <v>170</v>
      </c>
    </row>
    <row r="68" spans="1:5" x14ac:dyDescent="0.3">
      <c r="A68" s="4" t="s">
        <v>171</v>
      </c>
      <c r="B68" s="5">
        <v>43403</v>
      </c>
      <c r="C68" s="6" t="s">
        <v>172</v>
      </c>
      <c r="D68" s="6" t="s">
        <v>140</v>
      </c>
      <c r="E68" s="7" t="s">
        <v>141</v>
      </c>
    </row>
    <row r="69" spans="1:5" x14ac:dyDescent="0.3">
      <c r="A69" s="4" t="s">
        <v>173</v>
      </c>
      <c r="B69" s="5">
        <v>43438</v>
      </c>
      <c r="C69" s="6" t="s">
        <v>174</v>
      </c>
      <c r="D69" s="6" t="s">
        <v>68</v>
      </c>
      <c r="E69" s="7" t="s">
        <v>175</v>
      </c>
    </row>
    <row r="70" spans="1:5" x14ac:dyDescent="0.3">
      <c r="A70" s="4" t="s">
        <v>176</v>
      </c>
      <c r="B70" s="5">
        <v>43463</v>
      </c>
      <c r="C70" s="6" t="s">
        <v>94</v>
      </c>
      <c r="D70" s="6" t="s">
        <v>16</v>
      </c>
      <c r="E70" s="7" t="s">
        <v>17</v>
      </c>
    </row>
    <row r="71" spans="1:5" x14ac:dyDescent="0.3">
      <c r="A71" s="4" t="s">
        <v>177</v>
      </c>
      <c r="B71" s="5">
        <v>43114</v>
      </c>
      <c r="C71" s="6" t="s">
        <v>178</v>
      </c>
      <c r="D71" s="6" t="s">
        <v>32</v>
      </c>
      <c r="E71" s="7" t="s">
        <v>33</v>
      </c>
    </row>
    <row r="72" spans="1:5" x14ac:dyDescent="0.3">
      <c r="A72" s="4" t="s">
        <v>179</v>
      </c>
      <c r="B72" s="5">
        <v>43345</v>
      </c>
      <c r="C72" s="6" t="s">
        <v>180</v>
      </c>
      <c r="D72" s="6" t="s">
        <v>57</v>
      </c>
      <c r="E72" s="7" t="s">
        <v>58</v>
      </c>
    </row>
    <row r="73" spans="1:5" x14ac:dyDescent="0.3">
      <c r="A73" s="4" t="s">
        <v>181</v>
      </c>
      <c r="B73" s="5">
        <v>43118</v>
      </c>
      <c r="C73" s="6" t="s">
        <v>182</v>
      </c>
      <c r="D73" s="6" t="s">
        <v>20</v>
      </c>
      <c r="E73" s="7" t="s">
        <v>21</v>
      </c>
    </row>
    <row r="74" spans="1:5" x14ac:dyDescent="0.3">
      <c r="A74" s="4" t="s">
        <v>183</v>
      </c>
      <c r="B74" s="5">
        <v>43303</v>
      </c>
      <c r="C74" s="6" t="s">
        <v>184</v>
      </c>
      <c r="D74" s="6" t="s">
        <v>100</v>
      </c>
      <c r="E74" s="7" t="s">
        <v>170</v>
      </c>
    </row>
    <row r="75" spans="1:5" x14ac:dyDescent="0.3">
      <c r="A75" s="4" t="s">
        <v>185</v>
      </c>
      <c r="B75" s="5">
        <v>43428</v>
      </c>
      <c r="C75" s="6" t="s">
        <v>186</v>
      </c>
      <c r="D75" s="6" t="s">
        <v>40</v>
      </c>
      <c r="E75" s="7" t="s">
        <v>41</v>
      </c>
    </row>
    <row r="76" spans="1:5" x14ac:dyDescent="0.3">
      <c r="A76" s="4" t="s">
        <v>187</v>
      </c>
      <c r="B76" s="5">
        <v>43175</v>
      </c>
      <c r="C76" s="6" t="s">
        <v>188</v>
      </c>
      <c r="D76" s="6" t="s">
        <v>20</v>
      </c>
      <c r="E76" s="7" t="s">
        <v>72</v>
      </c>
    </row>
    <row r="77" spans="1:5" x14ac:dyDescent="0.3">
      <c r="A77" s="4" t="s">
        <v>189</v>
      </c>
      <c r="B77" s="5">
        <v>43383</v>
      </c>
      <c r="C77" s="6" t="s">
        <v>190</v>
      </c>
      <c r="D77" s="6" t="s">
        <v>68</v>
      </c>
      <c r="E77" s="7" t="s">
        <v>69</v>
      </c>
    </row>
    <row r="78" spans="1:5" x14ac:dyDescent="0.3">
      <c r="A78" s="4" t="s">
        <v>191</v>
      </c>
      <c r="B78" s="5">
        <v>43422</v>
      </c>
      <c r="C78" s="6" t="s">
        <v>192</v>
      </c>
      <c r="D78" s="6" t="s">
        <v>193</v>
      </c>
      <c r="E78" s="7" t="s">
        <v>193</v>
      </c>
    </row>
    <row r="79" spans="1:5" x14ac:dyDescent="0.3">
      <c r="A79" s="4" t="s">
        <v>194</v>
      </c>
      <c r="B79" s="5">
        <v>43150</v>
      </c>
      <c r="C79" s="6" t="s">
        <v>195</v>
      </c>
      <c r="D79" s="6" t="s">
        <v>97</v>
      </c>
      <c r="E79" s="7" t="s">
        <v>69</v>
      </c>
    </row>
    <row r="80" spans="1:5" x14ac:dyDescent="0.3">
      <c r="A80" s="4" t="s">
        <v>196</v>
      </c>
      <c r="B80" s="5">
        <v>43213</v>
      </c>
      <c r="C80" s="6" t="s">
        <v>43</v>
      </c>
      <c r="D80" s="6" t="s">
        <v>16</v>
      </c>
      <c r="E80" s="7" t="s">
        <v>17</v>
      </c>
    </row>
    <row r="81" spans="1:5" x14ac:dyDescent="0.3">
      <c r="A81" s="4" t="s">
        <v>197</v>
      </c>
      <c r="B81" s="5">
        <v>43105</v>
      </c>
      <c r="C81" s="6" t="s">
        <v>198</v>
      </c>
      <c r="D81" s="6" t="s">
        <v>97</v>
      </c>
      <c r="E81" s="7" t="s">
        <v>69</v>
      </c>
    </row>
    <row r="82" spans="1:5" x14ac:dyDescent="0.3">
      <c r="A82" s="4" t="s">
        <v>199</v>
      </c>
      <c r="B82" s="5">
        <v>43199</v>
      </c>
      <c r="C82" s="6" t="s">
        <v>45</v>
      </c>
      <c r="D82" s="6" t="s">
        <v>57</v>
      </c>
      <c r="E82" s="7" t="s">
        <v>58</v>
      </c>
    </row>
    <row r="83" spans="1:5" x14ac:dyDescent="0.3">
      <c r="A83" s="4" t="s">
        <v>200</v>
      </c>
      <c r="B83" s="5">
        <v>43353</v>
      </c>
      <c r="C83" s="6" t="s">
        <v>201</v>
      </c>
      <c r="D83" s="6" t="s">
        <v>20</v>
      </c>
      <c r="E83" s="7" t="s">
        <v>21</v>
      </c>
    </row>
    <row r="84" spans="1:5" x14ac:dyDescent="0.3">
      <c r="A84" s="4" t="s">
        <v>202</v>
      </c>
      <c r="B84" s="5">
        <v>43314</v>
      </c>
      <c r="C84" s="6" t="s">
        <v>203</v>
      </c>
      <c r="D84" s="6" t="s">
        <v>68</v>
      </c>
      <c r="E84" s="7" t="s">
        <v>69</v>
      </c>
    </row>
    <row r="85" spans="1:5" x14ac:dyDescent="0.3">
      <c r="A85" s="4" t="s">
        <v>204</v>
      </c>
      <c r="B85" s="5">
        <v>43127</v>
      </c>
      <c r="C85" s="6" t="s">
        <v>205</v>
      </c>
      <c r="D85" s="6" t="s">
        <v>16</v>
      </c>
      <c r="E85" s="7" t="s">
        <v>17</v>
      </c>
    </row>
    <row r="86" spans="1:5" x14ac:dyDescent="0.3">
      <c r="A86" s="4" t="s">
        <v>206</v>
      </c>
      <c r="B86" s="5">
        <v>43219</v>
      </c>
      <c r="C86" s="6" t="s">
        <v>207</v>
      </c>
      <c r="D86" s="6" t="s">
        <v>156</v>
      </c>
      <c r="E86" s="7" t="s">
        <v>157</v>
      </c>
    </row>
    <row r="87" spans="1:5" x14ac:dyDescent="0.3">
      <c r="A87" s="4" t="s">
        <v>208</v>
      </c>
      <c r="B87" s="5">
        <v>43303</v>
      </c>
      <c r="C87" s="6" t="s">
        <v>209</v>
      </c>
      <c r="D87" s="6" t="s">
        <v>16</v>
      </c>
      <c r="E87" s="7" t="s">
        <v>27</v>
      </c>
    </row>
    <row r="88" spans="1:5" x14ac:dyDescent="0.3">
      <c r="A88" s="4" t="s">
        <v>210</v>
      </c>
      <c r="B88" s="5">
        <v>43325</v>
      </c>
      <c r="C88" s="6" t="s">
        <v>203</v>
      </c>
      <c r="D88" s="6" t="s">
        <v>16</v>
      </c>
      <c r="E88" s="7" t="s">
        <v>17</v>
      </c>
    </row>
    <row r="89" spans="1:5" x14ac:dyDescent="0.3">
      <c r="A89" s="4" t="s">
        <v>211</v>
      </c>
      <c r="B89" s="5">
        <v>43243</v>
      </c>
      <c r="C89" s="6" t="s">
        <v>212</v>
      </c>
      <c r="D89" s="6" t="s">
        <v>97</v>
      </c>
      <c r="E89" s="7" t="s">
        <v>69</v>
      </c>
    </row>
    <row r="90" spans="1:5" x14ac:dyDescent="0.3">
      <c r="A90" s="4" t="s">
        <v>213</v>
      </c>
      <c r="B90" s="5">
        <v>43233</v>
      </c>
      <c r="C90" s="6" t="s">
        <v>188</v>
      </c>
      <c r="D90" s="6" t="s">
        <v>20</v>
      </c>
      <c r="E90" s="7" t="s">
        <v>72</v>
      </c>
    </row>
    <row r="91" spans="1:5" x14ac:dyDescent="0.3">
      <c r="A91" s="4" t="s">
        <v>214</v>
      </c>
      <c r="B91" s="5">
        <v>43329</v>
      </c>
      <c r="C91" s="6" t="s">
        <v>215</v>
      </c>
      <c r="D91" s="6" t="s">
        <v>7</v>
      </c>
      <c r="E91" s="7" t="s">
        <v>120</v>
      </c>
    </row>
    <row r="92" spans="1:5" x14ac:dyDescent="0.3">
      <c r="A92" s="4" t="s">
        <v>216</v>
      </c>
      <c r="B92" s="5">
        <v>43173</v>
      </c>
      <c r="C92" s="6" t="s">
        <v>217</v>
      </c>
      <c r="D92" s="6" t="s">
        <v>20</v>
      </c>
      <c r="E92" s="7" t="s">
        <v>21</v>
      </c>
    </row>
    <row r="93" spans="1:5" x14ac:dyDescent="0.3">
      <c r="A93" s="4" t="s">
        <v>218</v>
      </c>
      <c r="B93" s="5">
        <v>43402</v>
      </c>
      <c r="C93" s="6" t="s">
        <v>180</v>
      </c>
      <c r="D93" s="6" t="s">
        <v>20</v>
      </c>
      <c r="E93" s="7" t="s">
        <v>21</v>
      </c>
    </row>
    <row r="94" spans="1:5" x14ac:dyDescent="0.3">
      <c r="A94" s="4" t="s">
        <v>219</v>
      </c>
      <c r="B94" s="5">
        <v>43278</v>
      </c>
      <c r="C94" s="6" t="s">
        <v>220</v>
      </c>
      <c r="D94" s="6" t="s">
        <v>16</v>
      </c>
      <c r="E94" s="7" t="s">
        <v>17</v>
      </c>
    </row>
    <row r="95" spans="1:5" x14ac:dyDescent="0.3">
      <c r="A95" s="4" t="s">
        <v>221</v>
      </c>
      <c r="B95" s="5">
        <v>43113</v>
      </c>
      <c r="C95" s="6" t="s">
        <v>127</v>
      </c>
      <c r="D95" s="6" t="s">
        <v>20</v>
      </c>
      <c r="E95" s="7" t="s">
        <v>21</v>
      </c>
    </row>
    <row r="96" spans="1:5" x14ac:dyDescent="0.3">
      <c r="A96" s="4" t="s">
        <v>222</v>
      </c>
      <c r="B96" s="5">
        <v>43242</v>
      </c>
      <c r="C96" s="6" t="s">
        <v>223</v>
      </c>
      <c r="D96" s="6" t="s">
        <v>68</v>
      </c>
      <c r="E96" s="7" t="s">
        <v>69</v>
      </c>
    </row>
    <row r="97" spans="1:5" x14ac:dyDescent="0.3">
      <c r="A97" s="4" t="s">
        <v>224</v>
      </c>
      <c r="B97" s="5">
        <v>43251</v>
      </c>
      <c r="C97" s="6" t="s">
        <v>225</v>
      </c>
      <c r="D97" s="6" t="s">
        <v>20</v>
      </c>
      <c r="E97" s="7" t="s">
        <v>72</v>
      </c>
    </row>
    <row r="98" spans="1:5" x14ac:dyDescent="0.3">
      <c r="A98" s="4" t="s">
        <v>226</v>
      </c>
      <c r="B98" s="5">
        <v>43226</v>
      </c>
      <c r="C98" s="6" t="s">
        <v>227</v>
      </c>
      <c r="D98" s="6" t="s">
        <v>16</v>
      </c>
      <c r="E98" s="7" t="s">
        <v>17</v>
      </c>
    </row>
    <row r="99" spans="1:5" x14ac:dyDescent="0.3">
      <c r="A99" s="4" t="s">
        <v>228</v>
      </c>
      <c r="B99" s="5">
        <v>43131</v>
      </c>
      <c r="C99" s="6" t="s">
        <v>229</v>
      </c>
      <c r="D99" s="6" t="s">
        <v>100</v>
      </c>
      <c r="E99" s="7" t="s">
        <v>101</v>
      </c>
    </row>
    <row r="100" spans="1:5" x14ac:dyDescent="0.3">
      <c r="A100" s="4" t="s">
        <v>230</v>
      </c>
      <c r="B100" s="5">
        <v>43409</v>
      </c>
      <c r="C100" s="6" t="s">
        <v>231</v>
      </c>
      <c r="D100" s="6" t="s">
        <v>193</v>
      </c>
      <c r="E100" s="7" t="s">
        <v>193</v>
      </c>
    </row>
    <row r="101" spans="1:5" x14ac:dyDescent="0.3">
      <c r="A101" s="4" t="s">
        <v>232</v>
      </c>
      <c r="B101" s="5">
        <v>43441</v>
      </c>
      <c r="C101" s="6" t="s">
        <v>231</v>
      </c>
      <c r="D101" s="6" t="s">
        <v>100</v>
      </c>
      <c r="E101" s="7" t="s">
        <v>101</v>
      </c>
    </row>
    <row r="102" spans="1:5" x14ac:dyDescent="0.3">
      <c r="A102" s="4" t="s">
        <v>233</v>
      </c>
      <c r="B102" s="5">
        <v>43383</v>
      </c>
      <c r="C102" s="6" t="s">
        <v>234</v>
      </c>
      <c r="D102" s="6" t="s">
        <v>16</v>
      </c>
      <c r="E102" s="7" t="s">
        <v>17</v>
      </c>
    </row>
    <row r="103" spans="1:5" x14ac:dyDescent="0.3">
      <c r="A103" s="4" t="s">
        <v>235</v>
      </c>
      <c r="B103" s="5">
        <v>43394</v>
      </c>
      <c r="C103" s="6" t="s">
        <v>236</v>
      </c>
      <c r="D103" s="6" t="s">
        <v>20</v>
      </c>
      <c r="E103" s="7" t="s">
        <v>21</v>
      </c>
    </row>
    <row r="104" spans="1:5" x14ac:dyDescent="0.3">
      <c r="A104" s="4" t="s">
        <v>237</v>
      </c>
      <c r="B104" s="5">
        <v>43114</v>
      </c>
      <c r="C104" s="6" t="s">
        <v>238</v>
      </c>
      <c r="D104" s="6" t="s">
        <v>40</v>
      </c>
      <c r="E104" s="7" t="s">
        <v>54</v>
      </c>
    </row>
    <row r="105" spans="1:5" x14ac:dyDescent="0.3">
      <c r="A105" s="4" t="s">
        <v>239</v>
      </c>
      <c r="B105" s="5">
        <v>43272</v>
      </c>
      <c r="C105" s="6" t="s">
        <v>240</v>
      </c>
      <c r="D105" s="6" t="s">
        <v>104</v>
      </c>
      <c r="E105" s="7" t="s">
        <v>105</v>
      </c>
    </row>
    <row r="106" spans="1:5" x14ac:dyDescent="0.3">
      <c r="A106" s="4" t="s">
        <v>241</v>
      </c>
      <c r="B106" s="5">
        <v>43216</v>
      </c>
      <c r="C106" s="6" t="s">
        <v>123</v>
      </c>
      <c r="D106" s="6" t="s">
        <v>16</v>
      </c>
      <c r="E106" s="7" t="s">
        <v>27</v>
      </c>
    </row>
    <row r="107" spans="1:5" x14ac:dyDescent="0.3">
      <c r="A107" s="4" t="s">
        <v>242</v>
      </c>
      <c r="B107" s="5">
        <v>43323</v>
      </c>
      <c r="C107" s="6" t="s">
        <v>243</v>
      </c>
      <c r="D107" s="6" t="s">
        <v>20</v>
      </c>
      <c r="E107" s="7" t="s">
        <v>72</v>
      </c>
    </row>
    <row r="108" spans="1:5" x14ac:dyDescent="0.3">
      <c r="A108" s="4" t="s">
        <v>244</v>
      </c>
      <c r="B108" s="5">
        <v>43444</v>
      </c>
      <c r="C108" s="6" t="s">
        <v>245</v>
      </c>
      <c r="D108" s="6" t="s">
        <v>11</v>
      </c>
      <c r="E108" s="7" t="s">
        <v>11</v>
      </c>
    </row>
    <row r="109" spans="1:5" x14ac:dyDescent="0.3">
      <c r="A109" s="4" t="s">
        <v>246</v>
      </c>
      <c r="B109" s="5">
        <v>43411</v>
      </c>
      <c r="C109" s="6" t="s">
        <v>247</v>
      </c>
      <c r="D109" s="6" t="s">
        <v>32</v>
      </c>
      <c r="E109" s="7" t="s">
        <v>33</v>
      </c>
    </row>
    <row r="110" spans="1:5" x14ac:dyDescent="0.3">
      <c r="A110" s="4" t="s">
        <v>248</v>
      </c>
      <c r="B110" s="5">
        <v>43128</v>
      </c>
      <c r="C110" s="6" t="s">
        <v>249</v>
      </c>
      <c r="D110" s="6" t="s">
        <v>11</v>
      </c>
      <c r="E110" s="7" t="s">
        <v>11</v>
      </c>
    </row>
    <row r="111" spans="1:5" x14ac:dyDescent="0.3">
      <c r="A111" s="4" t="s">
        <v>250</v>
      </c>
      <c r="B111" s="5">
        <v>43442</v>
      </c>
      <c r="C111" s="6" t="s">
        <v>251</v>
      </c>
      <c r="D111" s="6" t="s">
        <v>7</v>
      </c>
      <c r="E111" s="7" t="s">
        <v>24</v>
      </c>
    </row>
    <row r="112" spans="1:5" x14ac:dyDescent="0.3">
      <c r="A112" s="4" t="s">
        <v>252</v>
      </c>
      <c r="B112" s="5">
        <v>43424</v>
      </c>
      <c r="C112" s="6" t="s">
        <v>253</v>
      </c>
      <c r="D112" s="6" t="s">
        <v>32</v>
      </c>
      <c r="E112" s="7" t="s">
        <v>33</v>
      </c>
    </row>
    <row r="113" spans="1:5" x14ac:dyDescent="0.3">
      <c r="A113" s="4" t="s">
        <v>254</v>
      </c>
      <c r="B113" s="5">
        <v>43157</v>
      </c>
      <c r="C113" s="6" t="s">
        <v>255</v>
      </c>
      <c r="D113" s="6" t="s">
        <v>68</v>
      </c>
      <c r="E113" s="7" t="s">
        <v>69</v>
      </c>
    </row>
    <row r="114" spans="1:5" x14ac:dyDescent="0.3">
      <c r="A114" s="4" t="s">
        <v>256</v>
      </c>
      <c r="B114" s="5">
        <v>43247</v>
      </c>
      <c r="C114" s="6" t="s">
        <v>257</v>
      </c>
      <c r="D114" s="6" t="s">
        <v>81</v>
      </c>
      <c r="E114" s="7" t="s">
        <v>82</v>
      </c>
    </row>
    <row r="115" spans="1:5" x14ac:dyDescent="0.3">
      <c r="A115" s="4" t="s">
        <v>258</v>
      </c>
      <c r="B115" s="5">
        <v>43190</v>
      </c>
      <c r="C115" s="6" t="s">
        <v>259</v>
      </c>
      <c r="D115" s="6" t="s">
        <v>20</v>
      </c>
      <c r="E115" s="7" t="s">
        <v>21</v>
      </c>
    </row>
    <row r="116" spans="1:5" x14ac:dyDescent="0.3">
      <c r="A116" s="4" t="s">
        <v>260</v>
      </c>
      <c r="B116" s="5">
        <v>43227</v>
      </c>
      <c r="C116" s="6" t="s">
        <v>217</v>
      </c>
      <c r="D116" s="6" t="s">
        <v>20</v>
      </c>
      <c r="E116" s="7" t="s">
        <v>21</v>
      </c>
    </row>
    <row r="117" spans="1:5" x14ac:dyDescent="0.3">
      <c r="A117" s="4" t="s">
        <v>261</v>
      </c>
      <c r="B117" s="5">
        <v>43121</v>
      </c>
      <c r="C117" s="6" t="s">
        <v>262</v>
      </c>
      <c r="D117" s="6" t="s">
        <v>68</v>
      </c>
      <c r="E117" s="7" t="s">
        <v>175</v>
      </c>
    </row>
    <row r="118" spans="1:5" x14ac:dyDescent="0.3">
      <c r="A118" s="4" t="s">
        <v>263</v>
      </c>
      <c r="B118" s="5">
        <v>43146</v>
      </c>
      <c r="C118" s="6" t="s">
        <v>264</v>
      </c>
      <c r="D118" s="6" t="s">
        <v>7</v>
      </c>
      <c r="E118" s="7" t="s">
        <v>120</v>
      </c>
    </row>
    <row r="119" spans="1:5" x14ac:dyDescent="0.3">
      <c r="A119" s="4" t="s">
        <v>265</v>
      </c>
      <c r="B119" s="5">
        <v>43240</v>
      </c>
      <c r="C119" s="6" t="s">
        <v>266</v>
      </c>
      <c r="D119" s="6" t="s">
        <v>57</v>
      </c>
      <c r="E119" s="7" t="s">
        <v>58</v>
      </c>
    </row>
    <row r="120" spans="1:5" x14ac:dyDescent="0.3">
      <c r="A120" s="4" t="s">
        <v>267</v>
      </c>
      <c r="B120" s="5">
        <v>43153</v>
      </c>
      <c r="C120" s="6" t="s">
        <v>268</v>
      </c>
      <c r="D120" s="6" t="s">
        <v>140</v>
      </c>
      <c r="E120" s="7" t="s">
        <v>141</v>
      </c>
    </row>
    <row r="121" spans="1:5" x14ac:dyDescent="0.3">
      <c r="A121" s="4" t="s">
        <v>269</v>
      </c>
      <c r="B121" s="5">
        <v>43167</v>
      </c>
      <c r="C121" s="6" t="s">
        <v>270</v>
      </c>
      <c r="D121" s="6" t="s">
        <v>104</v>
      </c>
      <c r="E121" s="7" t="s">
        <v>105</v>
      </c>
    </row>
    <row r="122" spans="1:5" x14ac:dyDescent="0.3">
      <c r="A122" s="4" t="s">
        <v>271</v>
      </c>
      <c r="B122" s="5">
        <v>43136</v>
      </c>
      <c r="C122" s="6" t="s">
        <v>272</v>
      </c>
      <c r="D122" s="6" t="s">
        <v>11</v>
      </c>
      <c r="E122" s="7" t="s">
        <v>11</v>
      </c>
    </row>
    <row r="123" spans="1:5" x14ac:dyDescent="0.3">
      <c r="A123" s="4" t="s">
        <v>273</v>
      </c>
      <c r="B123" s="5">
        <v>43357</v>
      </c>
      <c r="C123" s="6" t="s">
        <v>274</v>
      </c>
      <c r="D123" s="6" t="s">
        <v>40</v>
      </c>
      <c r="E123" s="7" t="s">
        <v>54</v>
      </c>
    </row>
    <row r="124" spans="1:5" x14ac:dyDescent="0.3">
      <c r="A124" s="4" t="s">
        <v>275</v>
      </c>
      <c r="B124" s="5">
        <v>43340</v>
      </c>
      <c r="C124" s="6" t="s">
        <v>276</v>
      </c>
      <c r="D124" s="6" t="s">
        <v>16</v>
      </c>
      <c r="E124" s="7" t="s">
        <v>27</v>
      </c>
    </row>
    <row r="125" spans="1:5" x14ac:dyDescent="0.3">
      <c r="A125" s="4" t="s">
        <v>277</v>
      </c>
      <c r="B125" s="5">
        <v>43378</v>
      </c>
      <c r="C125" s="6" t="s">
        <v>278</v>
      </c>
      <c r="D125" s="6" t="s">
        <v>20</v>
      </c>
      <c r="E125" s="7" t="s">
        <v>21</v>
      </c>
    </row>
    <row r="126" spans="1:5" x14ac:dyDescent="0.3">
      <c r="A126" s="4" t="s">
        <v>279</v>
      </c>
      <c r="B126" s="5">
        <v>43111</v>
      </c>
      <c r="C126" s="6" t="s">
        <v>280</v>
      </c>
      <c r="D126" s="6" t="s">
        <v>20</v>
      </c>
      <c r="E126" s="7" t="s">
        <v>21</v>
      </c>
    </row>
    <row r="127" spans="1:5" x14ac:dyDescent="0.3">
      <c r="A127" s="4" t="s">
        <v>281</v>
      </c>
      <c r="B127" s="5">
        <v>43185</v>
      </c>
      <c r="C127" s="6" t="s">
        <v>195</v>
      </c>
      <c r="D127" s="6" t="s">
        <v>97</v>
      </c>
      <c r="E127" s="7" t="s">
        <v>69</v>
      </c>
    </row>
    <row r="128" spans="1:5" x14ac:dyDescent="0.3">
      <c r="A128" s="4" t="s">
        <v>282</v>
      </c>
      <c r="B128" s="5">
        <v>43407</v>
      </c>
      <c r="C128" s="6" t="s">
        <v>283</v>
      </c>
      <c r="D128" s="6" t="s">
        <v>75</v>
      </c>
      <c r="E128" s="7" t="s">
        <v>76</v>
      </c>
    </row>
    <row r="129" spans="1:5" x14ac:dyDescent="0.3">
      <c r="A129" s="4" t="s">
        <v>284</v>
      </c>
      <c r="B129" s="5">
        <v>43386</v>
      </c>
      <c r="C129" s="6" t="s">
        <v>285</v>
      </c>
      <c r="D129" s="6" t="s">
        <v>16</v>
      </c>
      <c r="E129" s="7" t="s">
        <v>17</v>
      </c>
    </row>
    <row r="130" spans="1:5" x14ac:dyDescent="0.3">
      <c r="A130" s="4" t="s">
        <v>286</v>
      </c>
      <c r="B130" s="5">
        <v>43113</v>
      </c>
      <c r="C130" s="6" t="s">
        <v>287</v>
      </c>
      <c r="D130" s="6" t="s">
        <v>140</v>
      </c>
      <c r="E130" s="7" t="s">
        <v>141</v>
      </c>
    </row>
    <row r="131" spans="1:5" x14ac:dyDescent="0.3">
      <c r="A131" s="4" t="s">
        <v>288</v>
      </c>
      <c r="B131" s="5">
        <v>43122</v>
      </c>
      <c r="C131" s="6" t="s">
        <v>289</v>
      </c>
      <c r="D131" s="6" t="s">
        <v>16</v>
      </c>
      <c r="E131" s="7" t="s">
        <v>17</v>
      </c>
    </row>
    <row r="132" spans="1:5" x14ac:dyDescent="0.3">
      <c r="A132" s="4" t="s">
        <v>290</v>
      </c>
      <c r="B132" s="5">
        <v>43428</v>
      </c>
      <c r="C132" s="6" t="s">
        <v>291</v>
      </c>
      <c r="D132" s="6" t="s">
        <v>16</v>
      </c>
      <c r="E132" s="7" t="s">
        <v>17</v>
      </c>
    </row>
    <row r="133" spans="1:5" x14ac:dyDescent="0.3">
      <c r="A133" s="4" t="s">
        <v>292</v>
      </c>
      <c r="B133" s="5">
        <v>43169</v>
      </c>
      <c r="C133" s="6" t="s">
        <v>293</v>
      </c>
      <c r="D133" s="6" t="s">
        <v>75</v>
      </c>
      <c r="E133" s="7" t="s">
        <v>76</v>
      </c>
    </row>
    <row r="134" spans="1:5" x14ac:dyDescent="0.3">
      <c r="A134" s="4" t="s">
        <v>294</v>
      </c>
      <c r="B134" s="5">
        <v>43432</v>
      </c>
      <c r="C134" s="6" t="s">
        <v>295</v>
      </c>
      <c r="D134" s="6" t="s">
        <v>20</v>
      </c>
      <c r="E134" s="7" t="s">
        <v>21</v>
      </c>
    </row>
    <row r="135" spans="1:5" x14ac:dyDescent="0.3">
      <c r="A135" s="4" t="s">
        <v>296</v>
      </c>
      <c r="B135" s="5">
        <v>43440</v>
      </c>
      <c r="C135" s="6" t="s">
        <v>51</v>
      </c>
      <c r="D135" s="6" t="s">
        <v>20</v>
      </c>
      <c r="E135" s="7" t="s">
        <v>21</v>
      </c>
    </row>
    <row r="136" spans="1:5" x14ac:dyDescent="0.3">
      <c r="A136" s="4" t="s">
        <v>297</v>
      </c>
      <c r="B136" s="5">
        <v>43332</v>
      </c>
      <c r="C136" s="6" t="s">
        <v>96</v>
      </c>
      <c r="D136" s="6" t="s">
        <v>16</v>
      </c>
      <c r="E136" s="7" t="s">
        <v>17</v>
      </c>
    </row>
    <row r="137" spans="1:5" x14ac:dyDescent="0.3">
      <c r="A137" s="4" t="s">
        <v>298</v>
      </c>
      <c r="B137" s="5">
        <v>43418</v>
      </c>
      <c r="C137" s="6" t="s">
        <v>299</v>
      </c>
      <c r="D137" s="6" t="s">
        <v>20</v>
      </c>
      <c r="E137" s="7" t="s">
        <v>21</v>
      </c>
    </row>
    <row r="138" spans="1:5" x14ac:dyDescent="0.3">
      <c r="A138" s="4" t="s">
        <v>300</v>
      </c>
      <c r="B138" s="5">
        <v>43267</v>
      </c>
      <c r="C138" s="6" t="s">
        <v>301</v>
      </c>
      <c r="D138" s="6" t="s">
        <v>16</v>
      </c>
      <c r="E138" s="7" t="s">
        <v>17</v>
      </c>
    </row>
    <row r="139" spans="1:5" x14ac:dyDescent="0.3">
      <c r="A139" s="4" t="s">
        <v>302</v>
      </c>
      <c r="B139" s="5">
        <v>43216</v>
      </c>
      <c r="C139" s="6" t="s">
        <v>303</v>
      </c>
      <c r="D139" s="6" t="s">
        <v>304</v>
      </c>
      <c r="E139" s="7" t="s">
        <v>305</v>
      </c>
    </row>
    <row r="140" spans="1:5" x14ac:dyDescent="0.3">
      <c r="A140" s="4" t="s">
        <v>306</v>
      </c>
      <c r="B140" s="5">
        <v>43282</v>
      </c>
      <c r="C140" s="6" t="s">
        <v>307</v>
      </c>
      <c r="D140" s="6" t="s">
        <v>20</v>
      </c>
      <c r="E140" s="7" t="s">
        <v>21</v>
      </c>
    </row>
    <row r="141" spans="1:5" x14ac:dyDescent="0.3">
      <c r="A141" s="4" t="s">
        <v>308</v>
      </c>
      <c r="B141" s="5">
        <v>43400</v>
      </c>
      <c r="C141" s="6" t="s">
        <v>182</v>
      </c>
      <c r="D141" s="6" t="s">
        <v>304</v>
      </c>
      <c r="E141" s="7" t="s">
        <v>305</v>
      </c>
    </row>
    <row r="142" spans="1:5" x14ac:dyDescent="0.3">
      <c r="A142" s="4" t="s">
        <v>309</v>
      </c>
      <c r="B142" s="5">
        <v>43414</v>
      </c>
      <c r="C142" s="6" t="s">
        <v>145</v>
      </c>
      <c r="D142" s="6" t="s">
        <v>16</v>
      </c>
      <c r="E142" s="7" t="s">
        <v>17</v>
      </c>
    </row>
    <row r="143" spans="1:5" x14ac:dyDescent="0.3">
      <c r="A143" s="4" t="s">
        <v>310</v>
      </c>
      <c r="B143" s="5">
        <v>43438</v>
      </c>
      <c r="C143" s="6" t="s">
        <v>35</v>
      </c>
      <c r="D143" s="6" t="s">
        <v>7</v>
      </c>
      <c r="E143" s="7" t="s">
        <v>8</v>
      </c>
    </row>
    <row r="144" spans="1:5" x14ac:dyDescent="0.3">
      <c r="A144" s="4" t="s">
        <v>311</v>
      </c>
      <c r="B144" s="5">
        <v>43118</v>
      </c>
      <c r="C144" s="6" t="s">
        <v>312</v>
      </c>
      <c r="D144" s="6" t="s">
        <v>20</v>
      </c>
      <c r="E144" s="7" t="s">
        <v>21</v>
      </c>
    </row>
    <row r="145" spans="1:5" x14ac:dyDescent="0.3">
      <c r="A145" s="4" t="s">
        <v>313</v>
      </c>
      <c r="B145" s="5">
        <v>43137</v>
      </c>
      <c r="C145" s="6" t="s">
        <v>314</v>
      </c>
      <c r="D145" s="6" t="s">
        <v>11</v>
      </c>
      <c r="E145" s="7" t="s">
        <v>11</v>
      </c>
    </row>
    <row r="146" spans="1:5" x14ac:dyDescent="0.3">
      <c r="A146" s="4" t="s">
        <v>315</v>
      </c>
      <c r="B146" s="5">
        <v>43187</v>
      </c>
      <c r="C146" s="6" t="s">
        <v>316</v>
      </c>
      <c r="D146" s="6" t="s">
        <v>104</v>
      </c>
      <c r="E146" s="7" t="s">
        <v>105</v>
      </c>
    </row>
    <row r="147" spans="1:5" x14ac:dyDescent="0.3">
      <c r="A147" s="4" t="s">
        <v>317</v>
      </c>
      <c r="B147" s="5">
        <v>43321</v>
      </c>
      <c r="C147" s="6" t="s">
        <v>236</v>
      </c>
      <c r="D147" s="6" t="s">
        <v>40</v>
      </c>
      <c r="E147" s="7" t="s">
        <v>54</v>
      </c>
    </row>
    <row r="148" spans="1:5" x14ac:dyDescent="0.3">
      <c r="A148" s="4" t="s">
        <v>318</v>
      </c>
      <c r="B148" s="5">
        <v>43125</v>
      </c>
      <c r="C148" s="6" t="s">
        <v>319</v>
      </c>
      <c r="D148" s="6" t="s">
        <v>100</v>
      </c>
      <c r="E148" s="7" t="s">
        <v>101</v>
      </c>
    </row>
    <row r="149" spans="1:5" x14ac:dyDescent="0.3">
      <c r="A149" s="4" t="s">
        <v>320</v>
      </c>
      <c r="B149" s="5">
        <v>43245</v>
      </c>
      <c r="C149" s="6" t="s">
        <v>321</v>
      </c>
      <c r="D149" s="6" t="s">
        <v>193</v>
      </c>
      <c r="E149" s="7" t="s">
        <v>193</v>
      </c>
    </row>
    <row r="150" spans="1:5" x14ac:dyDescent="0.3">
      <c r="A150" s="4" t="s">
        <v>322</v>
      </c>
      <c r="B150" s="5">
        <v>43407</v>
      </c>
      <c r="C150" s="6" t="s">
        <v>51</v>
      </c>
      <c r="D150" s="6" t="s">
        <v>61</v>
      </c>
      <c r="E150" s="7" t="s">
        <v>62</v>
      </c>
    </row>
    <row r="151" spans="1:5" x14ac:dyDescent="0.3">
      <c r="A151" s="4" t="s">
        <v>323</v>
      </c>
      <c r="B151" s="5">
        <v>43436</v>
      </c>
      <c r="C151" s="6" t="s">
        <v>51</v>
      </c>
      <c r="D151" s="6" t="s">
        <v>68</v>
      </c>
      <c r="E151" s="7" t="s">
        <v>175</v>
      </c>
    </row>
    <row r="152" spans="1:5" x14ac:dyDescent="0.3">
      <c r="A152" s="4" t="s">
        <v>324</v>
      </c>
      <c r="B152" s="5">
        <v>43108</v>
      </c>
      <c r="C152" s="6" t="s">
        <v>325</v>
      </c>
      <c r="D152" s="6" t="s">
        <v>32</v>
      </c>
      <c r="E152" s="7" t="s">
        <v>33</v>
      </c>
    </row>
    <row r="153" spans="1:5" x14ac:dyDescent="0.3">
      <c r="A153" s="4" t="s">
        <v>326</v>
      </c>
      <c r="B153" s="5">
        <v>43407</v>
      </c>
      <c r="C153" s="6" t="s">
        <v>327</v>
      </c>
      <c r="D153" s="6" t="s">
        <v>97</v>
      </c>
      <c r="E153" s="7" t="s">
        <v>69</v>
      </c>
    </row>
    <row r="154" spans="1:5" x14ac:dyDescent="0.3">
      <c r="A154" s="4" t="s">
        <v>328</v>
      </c>
      <c r="B154" s="5">
        <v>43216</v>
      </c>
      <c r="C154" s="6" t="s">
        <v>329</v>
      </c>
      <c r="D154" s="6" t="s">
        <v>16</v>
      </c>
      <c r="E154" s="7" t="s">
        <v>17</v>
      </c>
    </row>
    <row r="155" spans="1:5" x14ac:dyDescent="0.3">
      <c r="A155" s="4" t="s">
        <v>330</v>
      </c>
      <c r="B155" s="5">
        <v>43395</v>
      </c>
      <c r="C155" s="6" t="s">
        <v>331</v>
      </c>
      <c r="D155" s="6" t="s">
        <v>16</v>
      </c>
      <c r="E155" s="7" t="s">
        <v>17</v>
      </c>
    </row>
    <row r="156" spans="1:5" x14ac:dyDescent="0.3">
      <c r="A156" s="4" t="s">
        <v>332</v>
      </c>
      <c r="B156" s="5">
        <v>43181</v>
      </c>
      <c r="C156" s="6" t="s">
        <v>129</v>
      </c>
      <c r="D156" s="6" t="s">
        <v>130</v>
      </c>
      <c r="E156" s="7" t="s">
        <v>131</v>
      </c>
    </row>
    <row r="157" spans="1:5" x14ac:dyDescent="0.3">
      <c r="A157" s="4" t="s">
        <v>333</v>
      </c>
      <c r="B157" s="5">
        <v>43213</v>
      </c>
      <c r="C157" s="6" t="s">
        <v>334</v>
      </c>
      <c r="D157" s="6" t="s">
        <v>156</v>
      </c>
      <c r="E157" s="7" t="s">
        <v>157</v>
      </c>
    </row>
    <row r="158" spans="1:5" x14ac:dyDescent="0.3">
      <c r="A158" s="4" t="s">
        <v>335</v>
      </c>
      <c r="B158" s="5">
        <v>43378</v>
      </c>
      <c r="C158" s="6" t="s">
        <v>336</v>
      </c>
      <c r="D158" s="6" t="s">
        <v>16</v>
      </c>
      <c r="E158" s="7" t="s">
        <v>17</v>
      </c>
    </row>
    <row r="159" spans="1:5" x14ac:dyDescent="0.3">
      <c r="A159" s="4" t="s">
        <v>337</v>
      </c>
      <c r="B159" s="5">
        <v>43269</v>
      </c>
      <c r="C159" s="6" t="s">
        <v>338</v>
      </c>
      <c r="D159" s="6" t="s">
        <v>20</v>
      </c>
      <c r="E159" s="7" t="s">
        <v>72</v>
      </c>
    </row>
    <row r="160" spans="1:5" x14ac:dyDescent="0.3">
      <c r="A160" s="4" t="s">
        <v>339</v>
      </c>
      <c r="B160" s="5">
        <v>43367</v>
      </c>
      <c r="C160" s="6" t="s">
        <v>340</v>
      </c>
      <c r="D160" s="6" t="s">
        <v>16</v>
      </c>
      <c r="E160" s="7" t="s">
        <v>17</v>
      </c>
    </row>
    <row r="161" spans="1:5" x14ac:dyDescent="0.3">
      <c r="A161" s="4" t="s">
        <v>341</v>
      </c>
      <c r="B161" s="5">
        <v>43379</v>
      </c>
      <c r="C161" s="6" t="s">
        <v>342</v>
      </c>
      <c r="D161" s="6" t="s">
        <v>20</v>
      </c>
      <c r="E161" s="7" t="s">
        <v>21</v>
      </c>
    </row>
    <row r="162" spans="1:5" x14ac:dyDescent="0.3">
      <c r="A162" s="4" t="s">
        <v>343</v>
      </c>
      <c r="B162" s="5">
        <v>43286</v>
      </c>
      <c r="C162" s="6" t="s">
        <v>344</v>
      </c>
      <c r="D162" s="6" t="s">
        <v>16</v>
      </c>
      <c r="E162" s="7" t="s">
        <v>27</v>
      </c>
    </row>
    <row r="163" spans="1:5" x14ac:dyDescent="0.3">
      <c r="A163" s="4" t="s">
        <v>345</v>
      </c>
      <c r="B163" s="5">
        <v>43245</v>
      </c>
      <c r="C163" s="6" t="s">
        <v>346</v>
      </c>
      <c r="D163" s="6" t="s">
        <v>304</v>
      </c>
      <c r="E163" s="7" t="s">
        <v>305</v>
      </c>
    </row>
    <row r="164" spans="1:5" x14ac:dyDescent="0.3">
      <c r="A164" s="4" t="s">
        <v>347</v>
      </c>
      <c r="B164" s="5">
        <v>43414</v>
      </c>
      <c r="C164" s="6" t="s">
        <v>348</v>
      </c>
      <c r="D164" s="6" t="s">
        <v>20</v>
      </c>
      <c r="E164" s="7" t="s">
        <v>21</v>
      </c>
    </row>
    <row r="165" spans="1:5" x14ac:dyDescent="0.3">
      <c r="A165" s="4" t="s">
        <v>349</v>
      </c>
      <c r="B165" s="5">
        <v>43358</v>
      </c>
      <c r="C165" s="6" t="s">
        <v>203</v>
      </c>
      <c r="D165" s="6" t="s">
        <v>140</v>
      </c>
      <c r="E165" s="7" t="s">
        <v>141</v>
      </c>
    </row>
    <row r="166" spans="1:5" x14ac:dyDescent="0.3">
      <c r="A166" s="4" t="s">
        <v>350</v>
      </c>
      <c r="B166" s="5">
        <v>43103</v>
      </c>
      <c r="C166" s="6" t="s">
        <v>351</v>
      </c>
      <c r="D166" s="6" t="s">
        <v>68</v>
      </c>
      <c r="E166" s="7" t="s">
        <v>69</v>
      </c>
    </row>
    <row r="167" spans="1:5" x14ac:dyDescent="0.3">
      <c r="A167" s="4" t="s">
        <v>352</v>
      </c>
      <c r="B167" s="5">
        <v>43168</v>
      </c>
      <c r="C167" s="6" t="s">
        <v>207</v>
      </c>
      <c r="D167" s="6" t="s">
        <v>156</v>
      </c>
      <c r="E167" s="7" t="s">
        <v>157</v>
      </c>
    </row>
    <row r="168" spans="1:5" x14ac:dyDescent="0.3">
      <c r="A168" s="4" t="s">
        <v>353</v>
      </c>
      <c r="B168" s="5">
        <v>43177</v>
      </c>
      <c r="C168" s="6" t="s">
        <v>94</v>
      </c>
      <c r="D168" s="6" t="s">
        <v>104</v>
      </c>
      <c r="E168" s="7" t="s">
        <v>105</v>
      </c>
    </row>
    <row r="169" spans="1:5" x14ac:dyDescent="0.3">
      <c r="A169" s="4" t="s">
        <v>354</v>
      </c>
      <c r="B169" s="5">
        <v>43367</v>
      </c>
      <c r="C169" s="6" t="s">
        <v>355</v>
      </c>
      <c r="D169" s="6" t="s">
        <v>75</v>
      </c>
      <c r="E169" s="7" t="s">
        <v>76</v>
      </c>
    </row>
    <row r="170" spans="1:5" x14ac:dyDescent="0.3">
      <c r="A170" s="4" t="s">
        <v>356</v>
      </c>
      <c r="B170" s="5">
        <v>43130</v>
      </c>
      <c r="C170" s="6" t="s">
        <v>357</v>
      </c>
      <c r="D170" s="6" t="s">
        <v>11</v>
      </c>
      <c r="E170" s="7" t="s">
        <v>11</v>
      </c>
    </row>
    <row r="171" spans="1:5" x14ac:dyDescent="0.3">
      <c r="A171" s="4" t="s">
        <v>358</v>
      </c>
      <c r="B171" s="5">
        <v>43127</v>
      </c>
      <c r="C171" s="6" t="s">
        <v>359</v>
      </c>
      <c r="D171" s="6" t="s">
        <v>20</v>
      </c>
      <c r="E171" s="7" t="s">
        <v>21</v>
      </c>
    </row>
    <row r="172" spans="1:5" x14ac:dyDescent="0.3">
      <c r="A172" s="4" t="s">
        <v>360</v>
      </c>
      <c r="B172" s="5">
        <v>43169</v>
      </c>
      <c r="C172" s="6" t="s">
        <v>361</v>
      </c>
      <c r="D172" s="6" t="s">
        <v>16</v>
      </c>
      <c r="E172" s="7" t="s">
        <v>17</v>
      </c>
    </row>
    <row r="173" spans="1:5" x14ac:dyDescent="0.3">
      <c r="A173" s="4" t="s">
        <v>362</v>
      </c>
      <c r="B173" s="5">
        <v>43181</v>
      </c>
      <c r="C173" s="6" t="s">
        <v>363</v>
      </c>
      <c r="D173" s="6" t="s">
        <v>140</v>
      </c>
      <c r="E173" s="7" t="s">
        <v>141</v>
      </c>
    </row>
    <row r="174" spans="1:5" x14ac:dyDescent="0.3">
      <c r="A174" s="4" t="s">
        <v>364</v>
      </c>
      <c r="B174" s="5">
        <v>43363</v>
      </c>
      <c r="C174" s="6" t="s">
        <v>365</v>
      </c>
      <c r="D174" s="6" t="s">
        <v>156</v>
      </c>
      <c r="E174" s="7" t="s">
        <v>157</v>
      </c>
    </row>
    <row r="175" spans="1:5" x14ac:dyDescent="0.3">
      <c r="A175" s="4" t="s">
        <v>366</v>
      </c>
      <c r="B175" s="5">
        <v>43258</v>
      </c>
      <c r="C175" s="6" t="s">
        <v>178</v>
      </c>
      <c r="D175" s="6" t="s">
        <v>57</v>
      </c>
      <c r="E175" s="7" t="s">
        <v>58</v>
      </c>
    </row>
    <row r="176" spans="1:5" x14ac:dyDescent="0.3">
      <c r="A176" s="4" t="s">
        <v>367</v>
      </c>
      <c r="B176" s="5">
        <v>43119</v>
      </c>
      <c r="C176" s="6" t="s">
        <v>368</v>
      </c>
      <c r="D176" s="6" t="s">
        <v>16</v>
      </c>
      <c r="E176" s="7" t="s">
        <v>27</v>
      </c>
    </row>
    <row r="177" spans="1:5" x14ac:dyDescent="0.3">
      <c r="A177" s="4" t="s">
        <v>369</v>
      </c>
      <c r="B177" s="5">
        <v>43326</v>
      </c>
      <c r="C177" s="6" t="s">
        <v>370</v>
      </c>
      <c r="D177" s="6" t="s">
        <v>20</v>
      </c>
      <c r="E177" s="7" t="s">
        <v>21</v>
      </c>
    </row>
    <row r="178" spans="1:5" x14ac:dyDescent="0.3">
      <c r="A178" s="4" t="s">
        <v>371</v>
      </c>
      <c r="B178" s="5">
        <v>43397</v>
      </c>
      <c r="C178" s="6" t="s">
        <v>372</v>
      </c>
      <c r="D178" s="6" t="s">
        <v>68</v>
      </c>
      <c r="E178" s="7" t="s">
        <v>69</v>
      </c>
    </row>
    <row r="179" spans="1:5" x14ac:dyDescent="0.3">
      <c r="A179" s="4" t="s">
        <v>373</v>
      </c>
      <c r="B179" s="5">
        <v>43212</v>
      </c>
      <c r="C179" s="6" t="s">
        <v>374</v>
      </c>
      <c r="D179" s="6" t="s">
        <v>100</v>
      </c>
      <c r="E179" s="7" t="s">
        <v>170</v>
      </c>
    </row>
    <row r="180" spans="1:5" x14ac:dyDescent="0.3">
      <c r="A180" s="4" t="s">
        <v>375</v>
      </c>
      <c r="B180" s="5">
        <v>43326</v>
      </c>
      <c r="C180" s="6" t="s">
        <v>376</v>
      </c>
      <c r="D180" s="6" t="s">
        <v>16</v>
      </c>
      <c r="E180" s="7" t="s">
        <v>17</v>
      </c>
    </row>
    <row r="181" spans="1:5" x14ac:dyDescent="0.3">
      <c r="A181" s="4" t="s">
        <v>377</v>
      </c>
      <c r="B181" s="5">
        <v>43261</v>
      </c>
      <c r="C181" s="6" t="s">
        <v>113</v>
      </c>
      <c r="D181" s="6" t="s">
        <v>20</v>
      </c>
      <c r="E181" s="7" t="s">
        <v>21</v>
      </c>
    </row>
    <row r="182" spans="1:5" x14ac:dyDescent="0.3">
      <c r="A182" s="4" t="s">
        <v>378</v>
      </c>
      <c r="B182" s="5">
        <v>43142</v>
      </c>
      <c r="C182" s="6" t="s">
        <v>379</v>
      </c>
      <c r="D182" s="6" t="s">
        <v>57</v>
      </c>
      <c r="E182" s="7" t="s">
        <v>58</v>
      </c>
    </row>
    <row r="183" spans="1:5" x14ac:dyDescent="0.3">
      <c r="A183" s="4" t="s">
        <v>380</v>
      </c>
      <c r="B183" s="5">
        <v>43154</v>
      </c>
      <c r="C183" s="6" t="s">
        <v>334</v>
      </c>
      <c r="D183" s="6" t="s">
        <v>156</v>
      </c>
      <c r="E183" s="7" t="s">
        <v>157</v>
      </c>
    </row>
    <row r="184" spans="1:5" x14ac:dyDescent="0.3">
      <c r="A184" s="4" t="s">
        <v>381</v>
      </c>
      <c r="B184" s="5">
        <v>43274</v>
      </c>
      <c r="C184" s="6" t="s">
        <v>382</v>
      </c>
      <c r="D184" s="6" t="s">
        <v>130</v>
      </c>
      <c r="E184" s="7" t="s">
        <v>131</v>
      </c>
    </row>
    <row r="185" spans="1:5" x14ac:dyDescent="0.3">
      <c r="A185" s="4" t="s">
        <v>383</v>
      </c>
      <c r="B185" s="5">
        <v>43121</v>
      </c>
      <c r="C185" s="6" t="s">
        <v>384</v>
      </c>
      <c r="D185" s="6" t="s">
        <v>100</v>
      </c>
      <c r="E185" s="7" t="s">
        <v>101</v>
      </c>
    </row>
    <row r="186" spans="1:5" x14ac:dyDescent="0.3">
      <c r="A186" s="4" t="s">
        <v>385</v>
      </c>
      <c r="B186" s="5">
        <v>43401</v>
      </c>
      <c r="C186" s="6" t="s">
        <v>386</v>
      </c>
      <c r="D186" s="6" t="s">
        <v>16</v>
      </c>
      <c r="E186" s="7" t="s">
        <v>17</v>
      </c>
    </row>
    <row r="187" spans="1:5" x14ac:dyDescent="0.3">
      <c r="A187" s="4" t="s">
        <v>387</v>
      </c>
      <c r="B187" s="5">
        <v>43319</v>
      </c>
      <c r="C187" s="6" t="s">
        <v>388</v>
      </c>
      <c r="D187" s="6" t="s">
        <v>81</v>
      </c>
      <c r="E187" s="7" t="s">
        <v>82</v>
      </c>
    </row>
    <row r="188" spans="1:5" x14ac:dyDescent="0.3">
      <c r="A188" s="4" t="s">
        <v>389</v>
      </c>
      <c r="B188" s="5">
        <v>43432</v>
      </c>
      <c r="C188" s="6" t="s">
        <v>390</v>
      </c>
      <c r="D188" s="6" t="s">
        <v>100</v>
      </c>
      <c r="E188" s="7" t="s">
        <v>101</v>
      </c>
    </row>
    <row r="189" spans="1:5" x14ac:dyDescent="0.3">
      <c r="A189" s="4" t="s">
        <v>391</v>
      </c>
      <c r="B189" s="5">
        <v>43125</v>
      </c>
      <c r="C189" s="6" t="s">
        <v>127</v>
      </c>
      <c r="D189" s="6" t="s">
        <v>7</v>
      </c>
      <c r="E189" s="7" t="s">
        <v>24</v>
      </c>
    </row>
    <row r="190" spans="1:5" x14ac:dyDescent="0.3">
      <c r="A190" s="4" t="s">
        <v>392</v>
      </c>
      <c r="B190" s="5">
        <v>43188</v>
      </c>
      <c r="C190" s="6" t="s">
        <v>334</v>
      </c>
      <c r="D190" s="6" t="s">
        <v>156</v>
      </c>
      <c r="E190" s="7" t="s">
        <v>157</v>
      </c>
    </row>
    <row r="191" spans="1:5" x14ac:dyDescent="0.3">
      <c r="A191" s="4" t="s">
        <v>393</v>
      </c>
      <c r="B191" s="5">
        <v>43203</v>
      </c>
      <c r="C191" s="6" t="s">
        <v>394</v>
      </c>
      <c r="D191" s="6" t="s">
        <v>61</v>
      </c>
      <c r="E191" s="7" t="s">
        <v>62</v>
      </c>
    </row>
    <row r="192" spans="1:5" x14ac:dyDescent="0.3">
      <c r="A192" s="4" t="s">
        <v>395</v>
      </c>
      <c r="B192" s="5">
        <v>43302</v>
      </c>
      <c r="C192" s="6" t="s">
        <v>396</v>
      </c>
      <c r="D192" s="6" t="s">
        <v>16</v>
      </c>
      <c r="E192" s="7" t="s">
        <v>17</v>
      </c>
    </row>
    <row r="193" spans="1:5" x14ac:dyDescent="0.3">
      <c r="A193" s="4" t="s">
        <v>397</v>
      </c>
      <c r="B193" s="5">
        <v>43165</v>
      </c>
      <c r="C193" s="6" t="s">
        <v>398</v>
      </c>
      <c r="D193" s="6" t="s">
        <v>100</v>
      </c>
      <c r="E193" s="7" t="s">
        <v>170</v>
      </c>
    </row>
    <row r="194" spans="1:5" x14ac:dyDescent="0.3">
      <c r="A194" s="4" t="s">
        <v>399</v>
      </c>
      <c r="B194" s="5">
        <v>43199</v>
      </c>
      <c r="C194" s="6" t="s">
        <v>264</v>
      </c>
      <c r="D194" s="6" t="s">
        <v>7</v>
      </c>
      <c r="E194" s="7" t="s">
        <v>120</v>
      </c>
    </row>
    <row r="195" spans="1:5" x14ac:dyDescent="0.3">
      <c r="A195" s="4" t="s">
        <v>400</v>
      </c>
      <c r="B195" s="5">
        <v>43315</v>
      </c>
      <c r="C195" s="6" t="s">
        <v>401</v>
      </c>
      <c r="D195" s="6" t="s">
        <v>20</v>
      </c>
      <c r="E195" s="7" t="s">
        <v>21</v>
      </c>
    </row>
    <row r="196" spans="1:5" x14ac:dyDescent="0.3">
      <c r="A196" s="4" t="s">
        <v>402</v>
      </c>
      <c r="B196" s="5">
        <v>43117</v>
      </c>
      <c r="C196" s="6" t="s">
        <v>225</v>
      </c>
      <c r="D196" s="6" t="s">
        <v>16</v>
      </c>
      <c r="E196" s="7" t="s">
        <v>17</v>
      </c>
    </row>
    <row r="197" spans="1:5" x14ac:dyDescent="0.3">
      <c r="A197" s="4" t="s">
        <v>403</v>
      </c>
      <c r="B197" s="5">
        <v>43265</v>
      </c>
      <c r="C197" s="6" t="s">
        <v>404</v>
      </c>
      <c r="D197" s="6" t="s">
        <v>16</v>
      </c>
      <c r="E197" s="7" t="s">
        <v>17</v>
      </c>
    </row>
    <row r="198" spans="1:5" x14ac:dyDescent="0.3">
      <c r="A198" s="4" t="s">
        <v>405</v>
      </c>
      <c r="B198" s="5">
        <v>43105</v>
      </c>
      <c r="C198" s="6" t="s">
        <v>406</v>
      </c>
      <c r="D198" s="6" t="s">
        <v>304</v>
      </c>
      <c r="E198" s="7" t="s">
        <v>305</v>
      </c>
    </row>
    <row r="199" spans="1:5" x14ac:dyDescent="0.3">
      <c r="A199" s="4" t="s">
        <v>407</v>
      </c>
      <c r="B199" s="5">
        <v>43438</v>
      </c>
      <c r="C199" s="6" t="s">
        <v>408</v>
      </c>
      <c r="D199" s="6" t="s">
        <v>16</v>
      </c>
      <c r="E199" s="7" t="s">
        <v>17</v>
      </c>
    </row>
    <row r="200" spans="1:5" x14ac:dyDescent="0.3">
      <c r="A200" s="4" t="s">
        <v>409</v>
      </c>
      <c r="B200" s="5">
        <v>43383</v>
      </c>
      <c r="C200" s="6" t="s">
        <v>245</v>
      </c>
      <c r="D200" s="6" t="s">
        <v>20</v>
      </c>
      <c r="E200" s="7" t="s">
        <v>21</v>
      </c>
    </row>
    <row r="201" spans="1:5" x14ac:dyDescent="0.3">
      <c r="A201" s="4" t="s">
        <v>410</v>
      </c>
      <c r="B201" s="5">
        <v>43293</v>
      </c>
      <c r="C201" s="6" t="s">
        <v>212</v>
      </c>
      <c r="D201" s="6" t="s">
        <v>16</v>
      </c>
      <c r="E201" s="7" t="s">
        <v>17</v>
      </c>
    </row>
    <row r="202" spans="1:5" x14ac:dyDescent="0.3">
      <c r="A202" s="4" t="s">
        <v>411</v>
      </c>
      <c r="B202" s="5">
        <v>43452</v>
      </c>
      <c r="C202" s="6" t="s">
        <v>412</v>
      </c>
      <c r="D202" s="6" t="s">
        <v>11</v>
      </c>
      <c r="E202" s="7" t="s">
        <v>11</v>
      </c>
    </row>
    <row r="203" spans="1:5" x14ac:dyDescent="0.3">
      <c r="A203" s="4" t="s">
        <v>413</v>
      </c>
      <c r="B203" s="5">
        <v>43444</v>
      </c>
      <c r="C203" s="6" t="s">
        <v>414</v>
      </c>
      <c r="D203" s="6" t="s">
        <v>20</v>
      </c>
      <c r="E203" s="7" t="s">
        <v>21</v>
      </c>
    </row>
    <row r="204" spans="1:5" x14ac:dyDescent="0.3">
      <c r="A204" s="4" t="s">
        <v>415</v>
      </c>
      <c r="B204" s="5">
        <v>43187</v>
      </c>
      <c r="C204" s="6" t="s">
        <v>268</v>
      </c>
      <c r="D204" s="6" t="s">
        <v>140</v>
      </c>
      <c r="E204" s="7" t="s">
        <v>141</v>
      </c>
    </row>
    <row r="205" spans="1:5" x14ac:dyDescent="0.3">
      <c r="A205" s="4" t="s">
        <v>416</v>
      </c>
      <c r="B205" s="5">
        <v>43230</v>
      </c>
      <c r="C205" s="6" t="s">
        <v>417</v>
      </c>
      <c r="D205" s="6" t="s">
        <v>16</v>
      </c>
      <c r="E205" s="7" t="s">
        <v>17</v>
      </c>
    </row>
    <row r="206" spans="1:5" x14ac:dyDescent="0.3">
      <c r="A206" s="4" t="s">
        <v>418</v>
      </c>
      <c r="B206" s="5">
        <v>43180</v>
      </c>
      <c r="C206" s="6" t="s">
        <v>137</v>
      </c>
      <c r="D206" s="6" t="s">
        <v>20</v>
      </c>
      <c r="E206" s="7" t="s">
        <v>72</v>
      </c>
    </row>
    <row r="207" spans="1:5" x14ac:dyDescent="0.3">
      <c r="A207" s="4" t="s">
        <v>419</v>
      </c>
      <c r="B207" s="5">
        <v>43118</v>
      </c>
      <c r="C207" s="6" t="s">
        <v>420</v>
      </c>
      <c r="D207" s="6" t="s">
        <v>40</v>
      </c>
      <c r="E207" s="7" t="s">
        <v>54</v>
      </c>
    </row>
    <row r="208" spans="1:5" x14ac:dyDescent="0.3">
      <c r="A208" s="4" t="s">
        <v>421</v>
      </c>
      <c r="B208" s="5">
        <v>43412</v>
      </c>
      <c r="C208" s="6" t="s">
        <v>314</v>
      </c>
      <c r="D208" s="6" t="s">
        <v>16</v>
      </c>
      <c r="E208" s="7" t="s">
        <v>27</v>
      </c>
    </row>
    <row r="209" spans="1:5" x14ac:dyDescent="0.3">
      <c r="A209" s="4" t="s">
        <v>422</v>
      </c>
      <c r="B209" s="5">
        <v>43218</v>
      </c>
      <c r="C209" s="6" t="s">
        <v>270</v>
      </c>
      <c r="D209" s="6" t="s">
        <v>104</v>
      </c>
      <c r="E209" s="7" t="s">
        <v>105</v>
      </c>
    </row>
    <row r="210" spans="1:5" x14ac:dyDescent="0.3">
      <c r="A210" s="4" t="s">
        <v>423</v>
      </c>
      <c r="B210" s="5">
        <v>43259</v>
      </c>
      <c r="C210" s="6" t="s">
        <v>225</v>
      </c>
      <c r="D210" s="6" t="s">
        <v>75</v>
      </c>
      <c r="E210" s="7" t="s">
        <v>76</v>
      </c>
    </row>
    <row r="211" spans="1:5" x14ac:dyDescent="0.3">
      <c r="A211" s="4" t="s">
        <v>424</v>
      </c>
      <c r="B211" s="5">
        <v>43145</v>
      </c>
      <c r="C211" s="6" t="s">
        <v>425</v>
      </c>
      <c r="D211" s="6" t="s">
        <v>104</v>
      </c>
      <c r="E211" s="7" t="s">
        <v>105</v>
      </c>
    </row>
    <row r="212" spans="1:5" x14ac:dyDescent="0.3">
      <c r="A212" s="4" t="s">
        <v>426</v>
      </c>
      <c r="B212" s="5">
        <v>43154</v>
      </c>
      <c r="C212" s="6" t="s">
        <v>316</v>
      </c>
      <c r="D212" s="6" t="s">
        <v>104</v>
      </c>
      <c r="E212" s="7" t="s">
        <v>105</v>
      </c>
    </row>
    <row r="213" spans="1:5" x14ac:dyDescent="0.3">
      <c r="A213" s="4" t="s">
        <v>427</v>
      </c>
      <c r="B213" s="5">
        <v>43169</v>
      </c>
      <c r="C213" s="6" t="s">
        <v>428</v>
      </c>
      <c r="D213" s="6" t="s">
        <v>57</v>
      </c>
      <c r="E213" s="7" t="s">
        <v>58</v>
      </c>
    </row>
    <row r="214" spans="1:5" x14ac:dyDescent="0.3">
      <c r="A214" s="4" t="s">
        <v>429</v>
      </c>
      <c r="B214" s="5">
        <v>43388</v>
      </c>
      <c r="C214" s="6" t="s">
        <v>325</v>
      </c>
      <c r="D214" s="6" t="s">
        <v>20</v>
      </c>
      <c r="E214" s="7" t="s">
        <v>72</v>
      </c>
    </row>
    <row r="215" spans="1:5" x14ac:dyDescent="0.3">
      <c r="A215" s="4" t="s">
        <v>430</v>
      </c>
      <c r="B215" s="5">
        <v>43291</v>
      </c>
      <c r="C215" s="6" t="s">
        <v>431</v>
      </c>
      <c r="D215" s="6" t="s">
        <v>156</v>
      </c>
      <c r="E215" s="7" t="s">
        <v>157</v>
      </c>
    </row>
    <row r="216" spans="1:5" x14ac:dyDescent="0.3">
      <c r="A216" s="4" t="s">
        <v>432</v>
      </c>
      <c r="B216" s="5">
        <v>43104</v>
      </c>
      <c r="C216" s="6" t="s">
        <v>433</v>
      </c>
      <c r="D216" s="6" t="s">
        <v>16</v>
      </c>
      <c r="E216" s="7" t="s">
        <v>17</v>
      </c>
    </row>
    <row r="217" spans="1:5" x14ac:dyDescent="0.3">
      <c r="A217" s="4" t="s">
        <v>434</v>
      </c>
      <c r="B217" s="5">
        <v>43144</v>
      </c>
      <c r="C217" s="6" t="s">
        <v>435</v>
      </c>
      <c r="D217" s="6" t="s">
        <v>100</v>
      </c>
      <c r="E217" s="7" t="s">
        <v>170</v>
      </c>
    </row>
    <row r="218" spans="1:5" x14ac:dyDescent="0.3">
      <c r="A218" s="4" t="s">
        <v>436</v>
      </c>
      <c r="B218" s="5">
        <v>43231</v>
      </c>
      <c r="C218" s="6" t="s">
        <v>437</v>
      </c>
      <c r="D218" s="6" t="s">
        <v>20</v>
      </c>
      <c r="E218" s="7" t="s">
        <v>21</v>
      </c>
    </row>
    <row r="219" spans="1:5" x14ac:dyDescent="0.3">
      <c r="A219" s="4" t="s">
        <v>438</v>
      </c>
      <c r="B219" s="5">
        <v>43385</v>
      </c>
      <c r="C219" s="6" t="s">
        <v>439</v>
      </c>
      <c r="D219" s="6" t="s">
        <v>32</v>
      </c>
      <c r="E219" s="7" t="s">
        <v>33</v>
      </c>
    </row>
    <row r="220" spans="1:5" x14ac:dyDescent="0.3">
      <c r="A220" s="4" t="s">
        <v>440</v>
      </c>
      <c r="B220" s="5">
        <v>43216</v>
      </c>
      <c r="C220" s="6" t="s">
        <v>441</v>
      </c>
      <c r="D220" s="6" t="s">
        <v>193</v>
      </c>
      <c r="E220" s="7" t="s">
        <v>193</v>
      </c>
    </row>
    <row r="221" spans="1:5" x14ac:dyDescent="0.3">
      <c r="A221" s="4" t="s">
        <v>442</v>
      </c>
      <c r="B221" s="5">
        <v>43438</v>
      </c>
      <c r="C221" s="6" t="s">
        <v>443</v>
      </c>
      <c r="D221" s="6" t="s">
        <v>40</v>
      </c>
      <c r="E221" s="7" t="s">
        <v>41</v>
      </c>
    </row>
    <row r="222" spans="1:5" x14ac:dyDescent="0.3">
      <c r="A222" s="4" t="s">
        <v>444</v>
      </c>
      <c r="B222" s="5">
        <v>43262</v>
      </c>
      <c r="C222" s="6" t="s">
        <v>445</v>
      </c>
      <c r="D222" s="6" t="s">
        <v>16</v>
      </c>
      <c r="E222" s="7" t="s">
        <v>17</v>
      </c>
    </row>
    <row r="223" spans="1:5" x14ac:dyDescent="0.3">
      <c r="A223" s="4" t="s">
        <v>446</v>
      </c>
      <c r="B223" s="5">
        <v>43237</v>
      </c>
      <c r="C223" s="6" t="s">
        <v>447</v>
      </c>
      <c r="D223" s="6" t="s">
        <v>16</v>
      </c>
      <c r="E223" s="7" t="s">
        <v>17</v>
      </c>
    </row>
    <row r="224" spans="1:5" x14ac:dyDescent="0.3">
      <c r="A224" s="4" t="s">
        <v>448</v>
      </c>
      <c r="B224" s="5">
        <v>43216</v>
      </c>
      <c r="C224" s="6" t="s">
        <v>449</v>
      </c>
      <c r="D224" s="6" t="s">
        <v>81</v>
      </c>
      <c r="E224" s="7" t="s">
        <v>82</v>
      </c>
    </row>
    <row r="225" spans="1:5" x14ac:dyDescent="0.3">
      <c r="A225" s="4" t="s">
        <v>450</v>
      </c>
      <c r="B225" s="5">
        <v>43172</v>
      </c>
      <c r="C225" s="6" t="s">
        <v>227</v>
      </c>
      <c r="D225" s="6" t="s">
        <v>16</v>
      </c>
      <c r="E225" s="7" t="s">
        <v>17</v>
      </c>
    </row>
    <row r="226" spans="1:5" x14ac:dyDescent="0.3">
      <c r="A226" s="4" t="s">
        <v>451</v>
      </c>
      <c r="B226" s="5">
        <v>43162</v>
      </c>
      <c r="C226" s="6" t="s">
        <v>449</v>
      </c>
      <c r="D226" s="6" t="s">
        <v>81</v>
      </c>
      <c r="E226" s="7" t="s">
        <v>82</v>
      </c>
    </row>
    <row r="227" spans="1:5" x14ac:dyDescent="0.3">
      <c r="A227" s="4" t="s">
        <v>452</v>
      </c>
      <c r="B227" s="5">
        <v>43345</v>
      </c>
      <c r="C227" s="6" t="s">
        <v>453</v>
      </c>
      <c r="D227" s="6" t="s">
        <v>20</v>
      </c>
      <c r="E227" s="7" t="s">
        <v>21</v>
      </c>
    </row>
    <row r="228" spans="1:5" x14ac:dyDescent="0.3">
      <c r="A228" s="4" t="s">
        <v>454</v>
      </c>
      <c r="B228" s="5">
        <v>43320</v>
      </c>
      <c r="C228" s="6" t="s">
        <v>455</v>
      </c>
      <c r="D228" s="6" t="s">
        <v>32</v>
      </c>
      <c r="E228" s="7" t="s">
        <v>33</v>
      </c>
    </row>
    <row r="229" spans="1:5" x14ac:dyDescent="0.3">
      <c r="A229" s="4" t="s">
        <v>456</v>
      </c>
      <c r="B229" s="5">
        <v>43208</v>
      </c>
      <c r="C229" s="6" t="s">
        <v>165</v>
      </c>
      <c r="D229" s="6" t="s">
        <v>32</v>
      </c>
      <c r="E229" s="7" t="s">
        <v>33</v>
      </c>
    </row>
    <row r="230" spans="1:5" x14ac:dyDescent="0.3">
      <c r="A230" s="4" t="s">
        <v>457</v>
      </c>
      <c r="B230" s="5">
        <v>43118</v>
      </c>
      <c r="C230" s="6" t="s">
        <v>458</v>
      </c>
      <c r="D230" s="6" t="s">
        <v>140</v>
      </c>
      <c r="E230" s="7" t="s">
        <v>141</v>
      </c>
    </row>
    <row r="231" spans="1:5" x14ac:dyDescent="0.3">
      <c r="A231" s="4" t="s">
        <v>459</v>
      </c>
      <c r="B231" s="5">
        <v>43345</v>
      </c>
      <c r="C231" s="6" t="s">
        <v>420</v>
      </c>
      <c r="D231" s="6" t="s">
        <v>16</v>
      </c>
      <c r="E231" s="7" t="s">
        <v>17</v>
      </c>
    </row>
    <row r="232" spans="1:5" x14ac:dyDescent="0.3">
      <c r="A232" s="4" t="s">
        <v>460</v>
      </c>
      <c r="B232" s="5">
        <v>43208</v>
      </c>
      <c r="C232" s="6" t="s">
        <v>461</v>
      </c>
      <c r="D232" s="6" t="s">
        <v>40</v>
      </c>
      <c r="E232" s="7" t="s">
        <v>54</v>
      </c>
    </row>
    <row r="233" spans="1:5" x14ac:dyDescent="0.3">
      <c r="A233" s="4" t="s">
        <v>462</v>
      </c>
      <c r="B233" s="5">
        <v>43262</v>
      </c>
      <c r="C233" s="6" t="s">
        <v>463</v>
      </c>
      <c r="D233" s="6" t="s">
        <v>20</v>
      </c>
      <c r="E233" s="7" t="s">
        <v>21</v>
      </c>
    </row>
    <row r="234" spans="1:5" x14ac:dyDescent="0.3">
      <c r="A234" s="4" t="s">
        <v>464</v>
      </c>
      <c r="B234" s="5">
        <v>43398</v>
      </c>
      <c r="C234" s="6" t="s">
        <v>465</v>
      </c>
      <c r="D234" s="6" t="s">
        <v>97</v>
      </c>
      <c r="E234" s="7" t="s">
        <v>69</v>
      </c>
    </row>
    <row r="235" spans="1:5" x14ac:dyDescent="0.3">
      <c r="A235" s="4" t="s">
        <v>466</v>
      </c>
      <c r="B235" s="5">
        <v>43154</v>
      </c>
      <c r="C235" s="6" t="s">
        <v>43</v>
      </c>
      <c r="D235" s="6" t="s">
        <v>16</v>
      </c>
      <c r="E235" s="7" t="s">
        <v>17</v>
      </c>
    </row>
    <row r="236" spans="1:5" x14ac:dyDescent="0.3">
      <c r="A236" s="4" t="s">
        <v>467</v>
      </c>
      <c r="B236" s="5">
        <v>43290</v>
      </c>
      <c r="C236" s="6" t="s">
        <v>468</v>
      </c>
      <c r="D236" s="6" t="s">
        <v>104</v>
      </c>
      <c r="E236" s="7" t="s">
        <v>105</v>
      </c>
    </row>
    <row r="237" spans="1:5" x14ac:dyDescent="0.3">
      <c r="A237" s="4" t="s">
        <v>469</v>
      </c>
      <c r="B237" s="5">
        <v>43132</v>
      </c>
      <c r="C237" s="6" t="s">
        <v>212</v>
      </c>
      <c r="D237" s="6" t="s">
        <v>11</v>
      </c>
      <c r="E237" s="7" t="s">
        <v>11</v>
      </c>
    </row>
    <row r="238" spans="1:5" x14ac:dyDescent="0.3">
      <c r="A238" s="4" t="s">
        <v>470</v>
      </c>
      <c r="B238" s="5">
        <v>43408</v>
      </c>
      <c r="C238" s="6" t="s">
        <v>471</v>
      </c>
      <c r="D238" s="6" t="s">
        <v>304</v>
      </c>
      <c r="E238" s="7" t="s">
        <v>305</v>
      </c>
    </row>
    <row r="239" spans="1:5" x14ac:dyDescent="0.3">
      <c r="A239" s="4" t="s">
        <v>472</v>
      </c>
      <c r="B239" s="5">
        <v>43410</v>
      </c>
      <c r="C239" s="6" t="s">
        <v>473</v>
      </c>
      <c r="D239" s="6" t="s">
        <v>81</v>
      </c>
      <c r="E239" s="7" t="s">
        <v>82</v>
      </c>
    </row>
    <row r="240" spans="1:5" x14ac:dyDescent="0.3">
      <c r="A240" s="4" t="s">
        <v>474</v>
      </c>
      <c r="B240" s="5">
        <v>43358</v>
      </c>
      <c r="C240" s="6" t="s">
        <v>475</v>
      </c>
      <c r="D240" s="6" t="s">
        <v>16</v>
      </c>
      <c r="E240" s="7" t="s">
        <v>17</v>
      </c>
    </row>
    <row r="241" spans="1:5" x14ac:dyDescent="0.3">
      <c r="A241" s="4" t="s">
        <v>476</v>
      </c>
      <c r="B241" s="5">
        <v>43210</v>
      </c>
      <c r="C241" s="6" t="s">
        <v>477</v>
      </c>
      <c r="D241" s="6" t="s">
        <v>20</v>
      </c>
      <c r="E241" s="7" t="s">
        <v>72</v>
      </c>
    </row>
    <row r="242" spans="1:5" x14ac:dyDescent="0.3">
      <c r="A242" s="4" t="s">
        <v>478</v>
      </c>
      <c r="B242" s="5">
        <v>43135</v>
      </c>
      <c r="C242" s="6" t="s">
        <v>479</v>
      </c>
      <c r="D242" s="6" t="s">
        <v>11</v>
      </c>
      <c r="E242" s="7" t="s">
        <v>11</v>
      </c>
    </row>
    <row r="243" spans="1:5" x14ac:dyDescent="0.3">
      <c r="A243" s="4" t="s">
        <v>480</v>
      </c>
      <c r="B243" s="5">
        <v>43254</v>
      </c>
      <c r="C243" s="6" t="s">
        <v>481</v>
      </c>
      <c r="D243" s="6" t="s">
        <v>104</v>
      </c>
      <c r="E243" s="7" t="s">
        <v>105</v>
      </c>
    </row>
    <row r="244" spans="1:5" x14ac:dyDescent="0.3">
      <c r="A244" s="4" t="s">
        <v>482</v>
      </c>
      <c r="B244" s="5">
        <v>43303</v>
      </c>
      <c r="C244" s="6" t="s">
        <v>483</v>
      </c>
      <c r="D244" s="6" t="s">
        <v>20</v>
      </c>
      <c r="E244" s="7" t="s">
        <v>21</v>
      </c>
    </row>
    <row r="245" spans="1:5" x14ac:dyDescent="0.3">
      <c r="A245" s="4" t="s">
        <v>484</v>
      </c>
      <c r="B245" s="5">
        <v>43145</v>
      </c>
      <c r="C245" s="6" t="s">
        <v>129</v>
      </c>
      <c r="D245" s="6" t="s">
        <v>130</v>
      </c>
      <c r="E245" s="7" t="s">
        <v>131</v>
      </c>
    </row>
    <row r="246" spans="1:5" x14ac:dyDescent="0.3">
      <c r="A246" s="4" t="s">
        <v>485</v>
      </c>
      <c r="B246" s="5">
        <v>43336</v>
      </c>
      <c r="C246" s="6" t="s">
        <v>65</v>
      </c>
      <c r="D246" s="6" t="s">
        <v>193</v>
      </c>
      <c r="E246" s="7" t="s">
        <v>193</v>
      </c>
    </row>
    <row r="247" spans="1:5" x14ac:dyDescent="0.3">
      <c r="A247" s="4" t="s">
        <v>486</v>
      </c>
      <c r="B247" s="5">
        <v>43378</v>
      </c>
      <c r="C247" s="6" t="s">
        <v>487</v>
      </c>
      <c r="D247" s="6" t="s">
        <v>104</v>
      </c>
      <c r="E247" s="7" t="s">
        <v>105</v>
      </c>
    </row>
    <row r="248" spans="1:5" x14ac:dyDescent="0.3">
      <c r="A248" s="4" t="s">
        <v>488</v>
      </c>
      <c r="B248" s="5">
        <v>43330</v>
      </c>
      <c r="C248" s="6" t="s">
        <v>489</v>
      </c>
      <c r="D248" s="6" t="s">
        <v>57</v>
      </c>
      <c r="E248" s="7" t="s">
        <v>58</v>
      </c>
    </row>
    <row r="249" spans="1:5" x14ac:dyDescent="0.3">
      <c r="A249" s="4" t="s">
        <v>490</v>
      </c>
      <c r="B249" s="5">
        <v>43147</v>
      </c>
      <c r="C249" s="6" t="s">
        <v>45</v>
      </c>
      <c r="D249" s="6" t="s">
        <v>57</v>
      </c>
      <c r="E249" s="7" t="s">
        <v>58</v>
      </c>
    </row>
    <row r="250" spans="1:5" x14ac:dyDescent="0.3">
      <c r="A250" s="4" t="s">
        <v>491</v>
      </c>
      <c r="B250" s="5">
        <v>43217</v>
      </c>
      <c r="C250" s="6" t="s">
        <v>398</v>
      </c>
      <c r="D250" s="6" t="s">
        <v>100</v>
      </c>
      <c r="E250" s="7" t="s">
        <v>170</v>
      </c>
    </row>
    <row r="251" spans="1:5" x14ac:dyDescent="0.3">
      <c r="A251" s="4" t="s">
        <v>492</v>
      </c>
      <c r="B251" s="5">
        <v>43365</v>
      </c>
      <c r="C251" s="6" t="s">
        <v>489</v>
      </c>
      <c r="D251" s="6" t="s">
        <v>7</v>
      </c>
      <c r="E251" s="7" t="s">
        <v>120</v>
      </c>
    </row>
    <row r="252" spans="1:5" x14ac:dyDescent="0.3">
      <c r="A252" s="4" t="s">
        <v>493</v>
      </c>
      <c r="B252" s="5">
        <v>43179</v>
      </c>
      <c r="C252" s="6" t="s">
        <v>447</v>
      </c>
      <c r="D252" s="6" t="s">
        <v>16</v>
      </c>
      <c r="E252" s="7" t="s">
        <v>17</v>
      </c>
    </row>
    <row r="253" spans="1:5" x14ac:dyDescent="0.3">
      <c r="A253" s="4" t="s">
        <v>494</v>
      </c>
      <c r="B253" s="5">
        <v>43140</v>
      </c>
      <c r="C253" s="6" t="s">
        <v>314</v>
      </c>
      <c r="D253" s="6" t="s">
        <v>156</v>
      </c>
      <c r="E253" s="7" t="s">
        <v>157</v>
      </c>
    </row>
    <row r="254" spans="1:5" x14ac:dyDescent="0.3">
      <c r="A254" s="4" t="s">
        <v>495</v>
      </c>
      <c r="B254" s="5">
        <v>43185</v>
      </c>
      <c r="C254" s="6" t="s">
        <v>394</v>
      </c>
      <c r="D254" s="6" t="s">
        <v>61</v>
      </c>
      <c r="E254" s="7" t="s">
        <v>62</v>
      </c>
    </row>
    <row r="255" spans="1:5" x14ac:dyDescent="0.3">
      <c r="A255" s="4" t="s">
        <v>496</v>
      </c>
      <c r="B255" s="5">
        <v>43207</v>
      </c>
      <c r="C255" s="6" t="s">
        <v>497</v>
      </c>
      <c r="D255" s="6" t="s">
        <v>81</v>
      </c>
      <c r="E255" s="7" t="s">
        <v>82</v>
      </c>
    </row>
    <row r="256" spans="1:5" x14ac:dyDescent="0.3">
      <c r="A256" s="4" t="s">
        <v>498</v>
      </c>
      <c r="B256" s="5">
        <v>43130</v>
      </c>
      <c r="C256" s="6" t="s">
        <v>412</v>
      </c>
      <c r="D256" s="6" t="s">
        <v>11</v>
      </c>
      <c r="E256" s="7" t="s">
        <v>11</v>
      </c>
    </row>
    <row r="257" spans="1:5" x14ac:dyDescent="0.3">
      <c r="A257" s="4" t="s">
        <v>499</v>
      </c>
      <c r="B257" s="5">
        <v>43343</v>
      </c>
      <c r="C257" s="6" t="s">
        <v>500</v>
      </c>
      <c r="D257" s="6" t="s">
        <v>140</v>
      </c>
      <c r="E257" s="7" t="s">
        <v>141</v>
      </c>
    </row>
    <row r="258" spans="1:5" x14ac:dyDescent="0.3">
      <c r="A258" s="4" t="s">
        <v>501</v>
      </c>
      <c r="B258" s="5">
        <v>43131</v>
      </c>
      <c r="C258" s="6" t="s">
        <v>502</v>
      </c>
      <c r="D258" s="6" t="s">
        <v>11</v>
      </c>
      <c r="E258" s="7" t="s">
        <v>11</v>
      </c>
    </row>
    <row r="259" spans="1:5" x14ac:dyDescent="0.3">
      <c r="A259" s="4" t="s">
        <v>503</v>
      </c>
      <c r="B259" s="5">
        <v>43404</v>
      </c>
      <c r="C259" s="6" t="s">
        <v>504</v>
      </c>
      <c r="D259" s="6" t="s">
        <v>104</v>
      </c>
      <c r="E259" s="7" t="s">
        <v>105</v>
      </c>
    </row>
    <row r="260" spans="1:5" x14ac:dyDescent="0.3">
      <c r="A260" s="4" t="s">
        <v>505</v>
      </c>
      <c r="B260" s="5">
        <v>43239</v>
      </c>
      <c r="C260" s="6" t="s">
        <v>115</v>
      </c>
      <c r="D260" s="6" t="s">
        <v>20</v>
      </c>
      <c r="E260" s="7" t="s">
        <v>21</v>
      </c>
    </row>
    <row r="261" spans="1:5" x14ac:dyDescent="0.3">
      <c r="A261" s="4" t="s">
        <v>506</v>
      </c>
      <c r="B261" s="5">
        <v>43152</v>
      </c>
      <c r="C261" s="6" t="s">
        <v>29</v>
      </c>
      <c r="D261" s="6" t="s">
        <v>16</v>
      </c>
      <c r="E261" s="7" t="s">
        <v>27</v>
      </c>
    </row>
    <row r="262" spans="1:5" x14ac:dyDescent="0.3">
      <c r="A262" s="4" t="s">
        <v>507</v>
      </c>
      <c r="B262" s="5">
        <v>43113</v>
      </c>
      <c r="C262" s="6" t="s">
        <v>508</v>
      </c>
      <c r="D262" s="6" t="s">
        <v>40</v>
      </c>
      <c r="E262" s="7" t="s">
        <v>54</v>
      </c>
    </row>
    <row r="263" spans="1:5" x14ac:dyDescent="0.3">
      <c r="A263" s="4" t="s">
        <v>509</v>
      </c>
      <c r="B263" s="5">
        <v>43439</v>
      </c>
      <c r="C263" s="6" t="s">
        <v>388</v>
      </c>
      <c r="D263" s="6" t="s">
        <v>16</v>
      </c>
      <c r="E263" s="7" t="s">
        <v>17</v>
      </c>
    </row>
    <row r="264" spans="1:5" x14ac:dyDescent="0.3">
      <c r="A264" s="4" t="s">
        <v>510</v>
      </c>
      <c r="B264" s="5">
        <v>43141</v>
      </c>
      <c r="C264" s="6" t="s">
        <v>511</v>
      </c>
      <c r="D264" s="6" t="s">
        <v>7</v>
      </c>
      <c r="E264" s="7" t="s">
        <v>120</v>
      </c>
    </row>
    <row r="265" spans="1:5" x14ac:dyDescent="0.3">
      <c r="A265" s="4" t="s">
        <v>512</v>
      </c>
      <c r="B265" s="5">
        <v>43428</v>
      </c>
      <c r="C265" s="6" t="s">
        <v>513</v>
      </c>
      <c r="D265" s="6" t="s">
        <v>68</v>
      </c>
      <c r="E265" s="7" t="s">
        <v>175</v>
      </c>
    </row>
    <row r="266" spans="1:5" x14ac:dyDescent="0.3">
      <c r="A266" s="4" t="s">
        <v>514</v>
      </c>
      <c r="B266" s="5">
        <v>43453</v>
      </c>
      <c r="C266" s="6" t="s">
        <v>515</v>
      </c>
      <c r="D266" s="6" t="s">
        <v>68</v>
      </c>
      <c r="E266" s="7" t="s">
        <v>175</v>
      </c>
    </row>
    <row r="267" spans="1:5" x14ac:dyDescent="0.3">
      <c r="A267" s="4" t="s">
        <v>516</v>
      </c>
      <c r="B267" s="5">
        <v>43367</v>
      </c>
      <c r="C267" s="6" t="s">
        <v>517</v>
      </c>
      <c r="D267" s="6" t="s">
        <v>304</v>
      </c>
      <c r="E267" s="7" t="s">
        <v>305</v>
      </c>
    </row>
    <row r="268" spans="1:5" x14ac:dyDescent="0.3">
      <c r="A268" s="4" t="s">
        <v>518</v>
      </c>
      <c r="B268" s="5">
        <v>43139</v>
      </c>
      <c r="C268" s="6" t="s">
        <v>243</v>
      </c>
      <c r="D268" s="6" t="s">
        <v>11</v>
      </c>
      <c r="E268" s="7" t="s">
        <v>11</v>
      </c>
    </row>
    <row r="269" spans="1:5" x14ac:dyDescent="0.3">
      <c r="A269" s="4" t="s">
        <v>519</v>
      </c>
      <c r="B269" s="5">
        <v>43221</v>
      </c>
      <c r="C269" s="6" t="s">
        <v>520</v>
      </c>
      <c r="D269" s="6" t="s">
        <v>20</v>
      </c>
      <c r="E269" s="7" t="s">
        <v>21</v>
      </c>
    </row>
    <row r="270" spans="1:5" x14ac:dyDescent="0.3">
      <c r="A270" s="4" t="s">
        <v>521</v>
      </c>
      <c r="B270" s="5">
        <v>43402</v>
      </c>
      <c r="C270" s="6" t="s">
        <v>522</v>
      </c>
      <c r="D270" s="6" t="s">
        <v>16</v>
      </c>
      <c r="E270" s="7" t="s">
        <v>17</v>
      </c>
    </row>
    <row r="271" spans="1:5" x14ac:dyDescent="0.3">
      <c r="A271" s="4" t="s">
        <v>523</v>
      </c>
      <c r="B271" s="5">
        <v>43202</v>
      </c>
      <c r="C271" s="6" t="s">
        <v>67</v>
      </c>
      <c r="D271" s="6" t="s">
        <v>68</v>
      </c>
      <c r="E271" s="7" t="s">
        <v>69</v>
      </c>
    </row>
    <row r="272" spans="1:5" x14ac:dyDescent="0.3">
      <c r="A272" s="4" t="s">
        <v>524</v>
      </c>
      <c r="B272" s="5">
        <v>43383</v>
      </c>
      <c r="C272" s="6" t="s">
        <v>525</v>
      </c>
      <c r="D272" s="6" t="s">
        <v>20</v>
      </c>
      <c r="E272" s="7" t="s">
        <v>21</v>
      </c>
    </row>
    <row r="273" spans="1:5" x14ac:dyDescent="0.3">
      <c r="A273" s="4" t="s">
        <v>526</v>
      </c>
      <c r="B273" s="5">
        <v>43407</v>
      </c>
      <c r="C273" s="6" t="s">
        <v>527</v>
      </c>
      <c r="D273" s="6" t="s">
        <v>16</v>
      </c>
      <c r="E273" s="7" t="s">
        <v>17</v>
      </c>
    </row>
    <row r="274" spans="1:5" x14ac:dyDescent="0.3">
      <c r="A274" s="4" t="s">
        <v>528</v>
      </c>
      <c r="B274" s="5">
        <v>43150</v>
      </c>
      <c r="C274" s="6" t="s">
        <v>529</v>
      </c>
      <c r="D274" s="6" t="s">
        <v>193</v>
      </c>
      <c r="E274" s="7" t="s">
        <v>193</v>
      </c>
    </row>
    <row r="275" spans="1:5" x14ac:dyDescent="0.3">
      <c r="A275" s="4" t="s">
        <v>530</v>
      </c>
      <c r="B275" s="5">
        <v>43349</v>
      </c>
      <c r="C275" s="6" t="s">
        <v>225</v>
      </c>
      <c r="D275" s="6" t="s">
        <v>75</v>
      </c>
      <c r="E275" s="7" t="s">
        <v>76</v>
      </c>
    </row>
    <row r="276" spans="1:5" x14ac:dyDescent="0.3">
      <c r="A276" s="4" t="s">
        <v>531</v>
      </c>
      <c r="B276" s="5">
        <v>43428</v>
      </c>
      <c r="C276" s="6" t="s">
        <v>532</v>
      </c>
      <c r="D276" s="6" t="s">
        <v>7</v>
      </c>
      <c r="E276" s="7" t="s">
        <v>24</v>
      </c>
    </row>
    <row r="277" spans="1:5" x14ac:dyDescent="0.3">
      <c r="A277" s="4" t="s">
        <v>533</v>
      </c>
      <c r="B277" s="5">
        <v>43236</v>
      </c>
      <c r="C277" s="6" t="s">
        <v>94</v>
      </c>
      <c r="D277" s="6" t="s">
        <v>104</v>
      </c>
      <c r="E277" s="7" t="s">
        <v>105</v>
      </c>
    </row>
    <row r="278" spans="1:5" x14ac:dyDescent="0.3">
      <c r="A278" s="4" t="s">
        <v>534</v>
      </c>
      <c r="B278" s="5">
        <v>43456</v>
      </c>
      <c r="C278" s="6" t="s">
        <v>535</v>
      </c>
      <c r="D278" s="6" t="s">
        <v>20</v>
      </c>
      <c r="E278" s="7" t="s">
        <v>21</v>
      </c>
    </row>
    <row r="279" spans="1:5" x14ac:dyDescent="0.3">
      <c r="A279" s="4" t="s">
        <v>536</v>
      </c>
      <c r="B279" s="5">
        <v>43122</v>
      </c>
      <c r="C279" s="6" t="s">
        <v>257</v>
      </c>
      <c r="D279" s="6" t="s">
        <v>20</v>
      </c>
      <c r="E279" s="7" t="s">
        <v>21</v>
      </c>
    </row>
    <row r="280" spans="1:5" x14ac:dyDescent="0.3">
      <c r="A280" s="4" t="s">
        <v>537</v>
      </c>
      <c r="B280" s="5">
        <v>43174</v>
      </c>
      <c r="C280" s="6" t="s">
        <v>143</v>
      </c>
      <c r="D280" s="6" t="s">
        <v>81</v>
      </c>
      <c r="E280" s="7" t="s">
        <v>82</v>
      </c>
    </row>
    <row r="281" spans="1:5" x14ac:dyDescent="0.3">
      <c r="A281" s="4" t="s">
        <v>538</v>
      </c>
      <c r="B281" s="5">
        <v>43421</v>
      </c>
      <c r="C281" s="6" t="s">
        <v>198</v>
      </c>
      <c r="D281" s="6" t="s">
        <v>304</v>
      </c>
      <c r="E281" s="7" t="s">
        <v>305</v>
      </c>
    </row>
    <row r="282" spans="1:5" x14ac:dyDescent="0.3">
      <c r="A282" s="4" t="s">
        <v>539</v>
      </c>
      <c r="B282" s="5">
        <v>43279</v>
      </c>
      <c r="C282" s="6" t="s">
        <v>540</v>
      </c>
      <c r="D282" s="6" t="s">
        <v>20</v>
      </c>
      <c r="E282" s="7" t="s">
        <v>21</v>
      </c>
    </row>
    <row r="283" spans="1:5" x14ac:dyDescent="0.3">
      <c r="A283" s="4" t="s">
        <v>541</v>
      </c>
      <c r="B283" s="5">
        <v>43237</v>
      </c>
      <c r="C283" s="6" t="s">
        <v>542</v>
      </c>
      <c r="D283" s="6" t="s">
        <v>156</v>
      </c>
      <c r="E283" s="7" t="s">
        <v>157</v>
      </c>
    </row>
    <row r="284" spans="1:5" x14ac:dyDescent="0.3">
      <c r="A284" s="4" t="s">
        <v>543</v>
      </c>
      <c r="B284" s="5">
        <v>43324</v>
      </c>
      <c r="C284" s="6" t="s">
        <v>544</v>
      </c>
      <c r="D284" s="6" t="s">
        <v>100</v>
      </c>
      <c r="E284" s="7" t="s">
        <v>170</v>
      </c>
    </row>
    <row r="285" spans="1:5" x14ac:dyDescent="0.3">
      <c r="A285" s="4" t="s">
        <v>545</v>
      </c>
      <c r="B285" s="5">
        <v>43342</v>
      </c>
      <c r="C285" s="6" t="s">
        <v>117</v>
      </c>
      <c r="D285" s="6" t="s">
        <v>100</v>
      </c>
      <c r="E285" s="7" t="s">
        <v>170</v>
      </c>
    </row>
    <row r="286" spans="1:5" x14ac:dyDescent="0.3">
      <c r="A286" s="4" t="s">
        <v>546</v>
      </c>
      <c r="B286" s="5">
        <v>43419</v>
      </c>
      <c r="C286" s="6" t="s">
        <v>547</v>
      </c>
      <c r="D286" s="6" t="s">
        <v>7</v>
      </c>
      <c r="E286" s="7" t="s">
        <v>120</v>
      </c>
    </row>
    <row r="287" spans="1:5" x14ac:dyDescent="0.3">
      <c r="A287" s="4" t="s">
        <v>548</v>
      </c>
      <c r="B287" s="5">
        <v>43170</v>
      </c>
      <c r="C287" s="6" t="s">
        <v>549</v>
      </c>
      <c r="D287" s="6" t="s">
        <v>68</v>
      </c>
      <c r="E287" s="7" t="s">
        <v>69</v>
      </c>
    </row>
    <row r="288" spans="1:5" x14ac:dyDescent="0.3">
      <c r="A288" s="4" t="s">
        <v>550</v>
      </c>
      <c r="B288" s="5">
        <v>43381</v>
      </c>
      <c r="C288" s="6" t="s">
        <v>551</v>
      </c>
      <c r="D288" s="6" t="s">
        <v>57</v>
      </c>
      <c r="E288" s="7" t="s">
        <v>58</v>
      </c>
    </row>
    <row r="289" spans="1:5" x14ac:dyDescent="0.3">
      <c r="A289" s="4" t="s">
        <v>552</v>
      </c>
      <c r="B289" s="5">
        <v>43443</v>
      </c>
      <c r="C289" s="6" t="s">
        <v>348</v>
      </c>
      <c r="D289" s="6" t="s">
        <v>68</v>
      </c>
      <c r="E289" s="7" t="s">
        <v>175</v>
      </c>
    </row>
    <row r="290" spans="1:5" x14ac:dyDescent="0.3">
      <c r="A290" s="4" t="s">
        <v>553</v>
      </c>
      <c r="B290" s="5">
        <v>43184</v>
      </c>
      <c r="C290" s="6" t="s">
        <v>554</v>
      </c>
      <c r="D290" s="6" t="s">
        <v>75</v>
      </c>
      <c r="E290" s="7" t="s">
        <v>76</v>
      </c>
    </row>
    <row r="291" spans="1:5" x14ac:dyDescent="0.3">
      <c r="A291" s="4" t="s">
        <v>555</v>
      </c>
      <c r="B291" s="5">
        <v>43228</v>
      </c>
      <c r="C291" s="6" t="s">
        <v>556</v>
      </c>
      <c r="D291" s="6" t="s">
        <v>193</v>
      </c>
      <c r="E291" s="7" t="s">
        <v>193</v>
      </c>
    </row>
    <row r="292" spans="1:5" x14ac:dyDescent="0.3">
      <c r="A292" s="4" t="s">
        <v>557</v>
      </c>
      <c r="B292" s="5">
        <v>43140</v>
      </c>
      <c r="C292" s="6" t="s">
        <v>558</v>
      </c>
      <c r="D292" s="6" t="s">
        <v>130</v>
      </c>
      <c r="E292" s="7" t="s">
        <v>131</v>
      </c>
    </row>
    <row r="293" spans="1:5" x14ac:dyDescent="0.3">
      <c r="A293" s="4" t="s">
        <v>559</v>
      </c>
      <c r="B293" s="5">
        <v>43374</v>
      </c>
      <c r="C293" s="6" t="s">
        <v>560</v>
      </c>
      <c r="D293" s="6" t="s">
        <v>40</v>
      </c>
      <c r="E293" s="7" t="s">
        <v>54</v>
      </c>
    </row>
    <row r="294" spans="1:5" x14ac:dyDescent="0.3">
      <c r="A294" s="4" t="s">
        <v>561</v>
      </c>
      <c r="B294" s="5">
        <v>43465</v>
      </c>
      <c r="C294" s="6" t="s">
        <v>225</v>
      </c>
      <c r="D294" s="6" t="s">
        <v>7</v>
      </c>
      <c r="E294" s="7" t="s">
        <v>120</v>
      </c>
    </row>
    <row r="295" spans="1:5" x14ac:dyDescent="0.3">
      <c r="A295" s="4" t="s">
        <v>562</v>
      </c>
      <c r="B295" s="5">
        <v>43131</v>
      </c>
      <c r="C295" s="6" t="s">
        <v>563</v>
      </c>
      <c r="D295" s="6" t="s">
        <v>20</v>
      </c>
      <c r="E295" s="7" t="s">
        <v>21</v>
      </c>
    </row>
    <row r="296" spans="1:5" x14ac:dyDescent="0.3">
      <c r="A296" s="4" t="s">
        <v>564</v>
      </c>
      <c r="B296" s="5">
        <v>43134</v>
      </c>
      <c r="C296" s="6" t="s">
        <v>565</v>
      </c>
      <c r="D296" s="6" t="s">
        <v>11</v>
      </c>
      <c r="E296" s="7" t="s">
        <v>11</v>
      </c>
    </row>
    <row r="297" spans="1:5" x14ac:dyDescent="0.3">
      <c r="A297" s="4" t="s">
        <v>566</v>
      </c>
      <c r="B297" s="5">
        <v>43210</v>
      </c>
      <c r="C297" s="6" t="s">
        <v>29</v>
      </c>
      <c r="D297" s="6" t="s">
        <v>16</v>
      </c>
      <c r="E297" s="7" t="s">
        <v>27</v>
      </c>
    </row>
    <row r="298" spans="1:5" x14ac:dyDescent="0.3">
      <c r="A298" s="4" t="s">
        <v>567</v>
      </c>
      <c r="B298" s="5">
        <v>43288</v>
      </c>
      <c r="C298" s="6" t="s">
        <v>568</v>
      </c>
      <c r="D298" s="6" t="s">
        <v>100</v>
      </c>
      <c r="E298" s="7" t="s">
        <v>170</v>
      </c>
    </row>
    <row r="299" spans="1:5" x14ac:dyDescent="0.3">
      <c r="A299" s="4" t="s">
        <v>569</v>
      </c>
      <c r="B299" s="5">
        <v>43125</v>
      </c>
      <c r="C299" s="6" t="s">
        <v>570</v>
      </c>
      <c r="D299" s="6" t="s">
        <v>68</v>
      </c>
      <c r="E299" s="7" t="s">
        <v>175</v>
      </c>
    </row>
    <row r="300" spans="1:5" x14ac:dyDescent="0.3">
      <c r="A300" s="4" t="s">
        <v>571</v>
      </c>
      <c r="B300" s="5">
        <v>43175</v>
      </c>
      <c r="C300" s="6" t="s">
        <v>572</v>
      </c>
      <c r="D300" s="6" t="s">
        <v>100</v>
      </c>
      <c r="E300" s="7" t="s">
        <v>170</v>
      </c>
    </row>
    <row r="301" spans="1:5" x14ac:dyDescent="0.3">
      <c r="A301" s="4" t="s">
        <v>573</v>
      </c>
      <c r="B301" s="5">
        <v>43297</v>
      </c>
      <c r="C301" s="6" t="s">
        <v>574</v>
      </c>
      <c r="D301" s="6" t="s">
        <v>97</v>
      </c>
      <c r="E301" s="7" t="s">
        <v>69</v>
      </c>
    </row>
    <row r="302" spans="1:5" x14ac:dyDescent="0.3">
      <c r="A302" s="4" t="s">
        <v>575</v>
      </c>
      <c r="B302" s="5">
        <v>43419</v>
      </c>
      <c r="C302" s="6" t="s">
        <v>576</v>
      </c>
      <c r="D302" s="6" t="s">
        <v>75</v>
      </c>
      <c r="E302" s="7" t="s">
        <v>76</v>
      </c>
    </row>
    <row r="303" spans="1:5" x14ac:dyDescent="0.3">
      <c r="A303" s="4" t="s">
        <v>577</v>
      </c>
      <c r="B303" s="5">
        <v>43134</v>
      </c>
      <c r="C303" s="6" t="s">
        <v>578</v>
      </c>
      <c r="D303" s="6" t="s">
        <v>20</v>
      </c>
      <c r="E303" s="7" t="s">
        <v>21</v>
      </c>
    </row>
    <row r="304" spans="1:5" x14ac:dyDescent="0.3">
      <c r="A304" s="4" t="s">
        <v>579</v>
      </c>
      <c r="B304" s="5">
        <v>43313</v>
      </c>
      <c r="C304" s="6" t="s">
        <v>314</v>
      </c>
      <c r="D304" s="6" t="s">
        <v>20</v>
      </c>
      <c r="E304" s="7" t="s">
        <v>21</v>
      </c>
    </row>
    <row r="305" spans="1:5" x14ac:dyDescent="0.3">
      <c r="A305" s="4" t="s">
        <v>580</v>
      </c>
      <c r="B305" s="5">
        <v>43160</v>
      </c>
      <c r="C305" s="6" t="s">
        <v>303</v>
      </c>
      <c r="D305" s="6" t="s">
        <v>304</v>
      </c>
      <c r="E305" s="7" t="s">
        <v>305</v>
      </c>
    </row>
    <row r="306" spans="1:5" x14ac:dyDescent="0.3">
      <c r="A306" s="4" t="s">
        <v>581</v>
      </c>
      <c r="B306" s="5">
        <v>43127</v>
      </c>
      <c r="C306" s="6" t="s">
        <v>475</v>
      </c>
      <c r="D306" s="6" t="s">
        <v>40</v>
      </c>
      <c r="E306" s="7" t="s">
        <v>41</v>
      </c>
    </row>
    <row r="307" spans="1:5" x14ac:dyDescent="0.3">
      <c r="A307" s="4" t="s">
        <v>582</v>
      </c>
      <c r="B307" s="5">
        <v>43446</v>
      </c>
      <c r="C307" s="6" t="s">
        <v>583</v>
      </c>
      <c r="D307" s="6" t="s">
        <v>11</v>
      </c>
      <c r="E307" s="7" t="s">
        <v>11</v>
      </c>
    </row>
    <row r="308" spans="1:5" x14ac:dyDescent="0.3">
      <c r="A308" s="4" t="s">
        <v>584</v>
      </c>
      <c r="B308" s="5">
        <v>43107</v>
      </c>
      <c r="C308" s="6" t="s">
        <v>585</v>
      </c>
      <c r="D308" s="6" t="s">
        <v>81</v>
      </c>
      <c r="E308" s="7" t="s">
        <v>82</v>
      </c>
    </row>
    <row r="309" spans="1:5" x14ac:dyDescent="0.3">
      <c r="A309" s="4" t="s">
        <v>586</v>
      </c>
      <c r="B309" s="5">
        <v>43367</v>
      </c>
      <c r="C309" s="6" t="s">
        <v>549</v>
      </c>
      <c r="D309" s="6" t="s">
        <v>61</v>
      </c>
      <c r="E309" s="7" t="s">
        <v>62</v>
      </c>
    </row>
    <row r="310" spans="1:5" x14ac:dyDescent="0.3">
      <c r="A310" s="4" t="s">
        <v>587</v>
      </c>
      <c r="B310" s="5">
        <v>43158</v>
      </c>
      <c r="C310" s="6" t="s">
        <v>588</v>
      </c>
      <c r="D310" s="6" t="s">
        <v>97</v>
      </c>
      <c r="E310" s="7" t="s">
        <v>69</v>
      </c>
    </row>
    <row r="311" spans="1:5" x14ac:dyDescent="0.3">
      <c r="A311" s="4" t="s">
        <v>589</v>
      </c>
      <c r="B311" s="5">
        <v>43269</v>
      </c>
      <c r="C311" s="6" t="s">
        <v>590</v>
      </c>
      <c r="D311" s="6" t="s">
        <v>140</v>
      </c>
      <c r="E311" s="7" t="s">
        <v>141</v>
      </c>
    </row>
    <row r="312" spans="1:5" x14ac:dyDescent="0.3">
      <c r="A312" s="4" t="s">
        <v>591</v>
      </c>
      <c r="B312" s="5">
        <v>43118</v>
      </c>
      <c r="C312" s="6" t="s">
        <v>225</v>
      </c>
      <c r="D312" s="6" t="s">
        <v>32</v>
      </c>
      <c r="E312" s="7" t="s">
        <v>33</v>
      </c>
    </row>
    <row r="313" spans="1:5" x14ac:dyDescent="0.3">
      <c r="A313" s="4" t="s">
        <v>592</v>
      </c>
      <c r="B313" s="5">
        <v>43154</v>
      </c>
      <c r="C313" s="6" t="s">
        <v>259</v>
      </c>
      <c r="D313" s="6" t="s">
        <v>20</v>
      </c>
      <c r="E313" s="7" t="s">
        <v>21</v>
      </c>
    </row>
    <row r="314" spans="1:5" x14ac:dyDescent="0.3">
      <c r="A314" s="4" t="s">
        <v>593</v>
      </c>
      <c r="B314" s="5">
        <v>43459</v>
      </c>
      <c r="C314" s="6" t="s">
        <v>594</v>
      </c>
      <c r="D314" s="6" t="s">
        <v>68</v>
      </c>
      <c r="E314" s="7" t="s">
        <v>175</v>
      </c>
    </row>
    <row r="315" spans="1:5" x14ac:dyDescent="0.3">
      <c r="A315" s="4" t="s">
        <v>595</v>
      </c>
      <c r="B315" s="5">
        <v>43110</v>
      </c>
      <c r="C315" s="6" t="s">
        <v>596</v>
      </c>
      <c r="D315" s="6" t="s">
        <v>16</v>
      </c>
      <c r="E315" s="7" t="s">
        <v>27</v>
      </c>
    </row>
    <row r="316" spans="1:5" x14ac:dyDescent="0.3">
      <c r="A316" s="4" t="s">
        <v>597</v>
      </c>
      <c r="B316" s="5">
        <v>43300</v>
      </c>
      <c r="C316" s="6" t="s">
        <v>113</v>
      </c>
      <c r="D316" s="6" t="s">
        <v>20</v>
      </c>
      <c r="E316" s="7" t="s">
        <v>21</v>
      </c>
    </row>
    <row r="317" spans="1:5" x14ac:dyDescent="0.3">
      <c r="A317" s="4" t="s">
        <v>598</v>
      </c>
      <c r="B317" s="5">
        <v>43150</v>
      </c>
      <c r="C317" s="6" t="s">
        <v>394</v>
      </c>
      <c r="D317" s="6" t="s">
        <v>61</v>
      </c>
      <c r="E317" s="7" t="s">
        <v>62</v>
      </c>
    </row>
    <row r="318" spans="1:5" x14ac:dyDescent="0.3">
      <c r="A318" s="4" t="s">
        <v>599</v>
      </c>
      <c r="B318" s="5">
        <v>43269</v>
      </c>
      <c r="C318" s="6" t="s">
        <v>600</v>
      </c>
      <c r="D318" s="6" t="s">
        <v>100</v>
      </c>
      <c r="E318" s="7" t="s">
        <v>170</v>
      </c>
    </row>
    <row r="319" spans="1:5" x14ac:dyDescent="0.3">
      <c r="A319" s="4" t="s">
        <v>601</v>
      </c>
      <c r="B319" s="5">
        <v>43241</v>
      </c>
      <c r="C319" s="6" t="s">
        <v>602</v>
      </c>
      <c r="D319" s="6" t="s">
        <v>75</v>
      </c>
      <c r="E319" s="7" t="s">
        <v>76</v>
      </c>
    </row>
    <row r="320" spans="1:5" x14ac:dyDescent="0.3">
      <c r="A320" s="4" t="s">
        <v>603</v>
      </c>
      <c r="B320" s="5">
        <v>43139</v>
      </c>
      <c r="C320" s="6" t="s">
        <v>604</v>
      </c>
      <c r="D320" s="6" t="s">
        <v>100</v>
      </c>
      <c r="E320" s="7" t="s">
        <v>170</v>
      </c>
    </row>
    <row r="321" spans="1:5" x14ac:dyDescent="0.3">
      <c r="A321" s="4" t="s">
        <v>605</v>
      </c>
      <c r="B321" s="5">
        <v>43201</v>
      </c>
      <c r="C321" s="6" t="s">
        <v>554</v>
      </c>
      <c r="D321" s="6" t="s">
        <v>75</v>
      </c>
      <c r="E321" s="7" t="s">
        <v>76</v>
      </c>
    </row>
    <row r="322" spans="1:5" x14ac:dyDescent="0.3">
      <c r="A322" s="4" t="s">
        <v>606</v>
      </c>
      <c r="B322" s="5">
        <v>43444</v>
      </c>
      <c r="C322" s="6" t="s">
        <v>607</v>
      </c>
      <c r="D322" s="6" t="s">
        <v>40</v>
      </c>
      <c r="E322" s="7" t="s">
        <v>41</v>
      </c>
    </row>
    <row r="323" spans="1:5" x14ac:dyDescent="0.3">
      <c r="A323" s="4" t="s">
        <v>608</v>
      </c>
      <c r="B323" s="5">
        <v>43212</v>
      </c>
      <c r="C323" s="6" t="s">
        <v>268</v>
      </c>
      <c r="D323" s="6" t="s">
        <v>140</v>
      </c>
      <c r="E323" s="7" t="s">
        <v>141</v>
      </c>
    </row>
    <row r="324" spans="1:5" x14ac:dyDescent="0.3">
      <c r="A324" s="4" t="s">
        <v>609</v>
      </c>
      <c r="B324" s="5">
        <v>43289</v>
      </c>
      <c r="C324" s="6" t="s">
        <v>610</v>
      </c>
      <c r="D324" s="6" t="s">
        <v>140</v>
      </c>
      <c r="E324" s="7" t="s">
        <v>141</v>
      </c>
    </row>
    <row r="325" spans="1:5" x14ac:dyDescent="0.3">
      <c r="A325" s="4" t="s">
        <v>611</v>
      </c>
      <c r="B325" s="5">
        <v>43186</v>
      </c>
      <c r="C325" s="6" t="s">
        <v>165</v>
      </c>
      <c r="D325" s="6" t="s">
        <v>32</v>
      </c>
      <c r="E325" s="7" t="s">
        <v>33</v>
      </c>
    </row>
    <row r="326" spans="1:5" x14ac:dyDescent="0.3">
      <c r="A326" s="4" t="s">
        <v>612</v>
      </c>
      <c r="B326" s="5">
        <v>43193</v>
      </c>
      <c r="C326" s="6" t="s">
        <v>435</v>
      </c>
      <c r="D326" s="6" t="s">
        <v>100</v>
      </c>
      <c r="E326" s="7" t="s">
        <v>170</v>
      </c>
    </row>
    <row r="327" spans="1:5" x14ac:dyDescent="0.3">
      <c r="A327" s="4" t="s">
        <v>613</v>
      </c>
      <c r="B327" s="5">
        <v>43396</v>
      </c>
      <c r="C327" s="6" t="s">
        <v>113</v>
      </c>
      <c r="D327" s="6" t="s">
        <v>20</v>
      </c>
      <c r="E327" s="7" t="s">
        <v>21</v>
      </c>
    </row>
    <row r="328" spans="1:5" x14ac:dyDescent="0.3">
      <c r="A328" s="4" t="s">
        <v>614</v>
      </c>
      <c r="B328" s="5">
        <v>43402</v>
      </c>
      <c r="C328" s="6" t="s">
        <v>615</v>
      </c>
      <c r="D328" s="6" t="s">
        <v>40</v>
      </c>
      <c r="E328" s="7" t="s">
        <v>54</v>
      </c>
    </row>
    <row r="329" spans="1:5" x14ac:dyDescent="0.3">
      <c r="A329" s="4" t="s">
        <v>616</v>
      </c>
      <c r="B329" s="5">
        <v>43150</v>
      </c>
      <c r="C329" s="6" t="s">
        <v>617</v>
      </c>
      <c r="D329" s="6" t="s">
        <v>304</v>
      </c>
      <c r="E329" s="7" t="s">
        <v>305</v>
      </c>
    </row>
    <row r="330" spans="1:5" x14ac:dyDescent="0.3">
      <c r="A330" s="4" t="s">
        <v>618</v>
      </c>
      <c r="B330" s="5">
        <v>43382</v>
      </c>
      <c r="C330" s="6" t="s">
        <v>619</v>
      </c>
      <c r="D330" s="6" t="s">
        <v>75</v>
      </c>
      <c r="E330" s="7" t="s">
        <v>76</v>
      </c>
    </row>
    <row r="331" spans="1:5" x14ac:dyDescent="0.3">
      <c r="A331" s="4" t="s">
        <v>620</v>
      </c>
      <c r="B331" s="5">
        <v>43445</v>
      </c>
      <c r="C331" s="6" t="s">
        <v>621</v>
      </c>
      <c r="D331" s="6" t="s">
        <v>11</v>
      </c>
      <c r="E331" s="7" t="s">
        <v>11</v>
      </c>
    </row>
    <row r="332" spans="1:5" x14ac:dyDescent="0.3">
      <c r="A332" s="4" t="s">
        <v>622</v>
      </c>
      <c r="B332" s="5">
        <v>43113</v>
      </c>
      <c r="C332" s="6" t="s">
        <v>623</v>
      </c>
      <c r="D332" s="6" t="s">
        <v>16</v>
      </c>
      <c r="E332" s="7" t="s">
        <v>27</v>
      </c>
    </row>
    <row r="333" spans="1:5" x14ac:dyDescent="0.3">
      <c r="A333" s="4" t="s">
        <v>624</v>
      </c>
      <c r="B333" s="5">
        <v>43186</v>
      </c>
      <c r="C333" s="6" t="s">
        <v>477</v>
      </c>
      <c r="D333" s="6" t="s">
        <v>20</v>
      </c>
      <c r="E333" s="7" t="s">
        <v>72</v>
      </c>
    </row>
    <row r="334" spans="1:5" x14ac:dyDescent="0.3">
      <c r="A334" s="4" t="s">
        <v>625</v>
      </c>
      <c r="B334" s="5">
        <v>43113</v>
      </c>
      <c r="C334" s="6" t="s">
        <v>626</v>
      </c>
      <c r="D334" s="6" t="s">
        <v>16</v>
      </c>
      <c r="E334" s="7" t="s">
        <v>17</v>
      </c>
    </row>
    <row r="335" spans="1:5" x14ac:dyDescent="0.3">
      <c r="A335" s="4" t="s">
        <v>627</v>
      </c>
      <c r="B335" s="5">
        <v>43138</v>
      </c>
      <c r="C335" s="6" t="s">
        <v>628</v>
      </c>
      <c r="D335" s="6" t="s">
        <v>11</v>
      </c>
      <c r="E335" s="7" t="s">
        <v>11</v>
      </c>
    </row>
    <row r="336" spans="1:5" x14ac:dyDescent="0.3">
      <c r="A336" s="4" t="s">
        <v>629</v>
      </c>
      <c r="B336" s="5">
        <v>43345</v>
      </c>
      <c r="C336" s="6" t="s">
        <v>630</v>
      </c>
      <c r="D336" s="6" t="s">
        <v>7</v>
      </c>
      <c r="E336" s="7" t="s">
        <v>120</v>
      </c>
    </row>
    <row r="337" spans="1:5" x14ac:dyDescent="0.3">
      <c r="A337" s="4" t="s">
        <v>631</v>
      </c>
      <c r="B337" s="5">
        <v>43235</v>
      </c>
      <c r="C337" s="6" t="s">
        <v>632</v>
      </c>
      <c r="D337" s="6" t="s">
        <v>140</v>
      </c>
      <c r="E337" s="7" t="s">
        <v>141</v>
      </c>
    </row>
    <row r="338" spans="1:5" x14ac:dyDescent="0.3">
      <c r="A338" s="4" t="s">
        <v>633</v>
      </c>
      <c r="B338" s="5">
        <v>43462</v>
      </c>
      <c r="C338" s="6" t="s">
        <v>634</v>
      </c>
      <c r="D338" s="6" t="s">
        <v>104</v>
      </c>
      <c r="E338" s="7" t="s">
        <v>105</v>
      </c>
    </row>
    <row r="339" spans="1:5" x14ac:dyDescent="0.3">
      <c r="A339" s="4" t="s">
        <v>635</v>
      </c>
      <c r="B339" s="5">
        <v>43431</v>
      </c>
      <c r="C339" s="6" t="s">
        <v>636</v>
      </c>
      <c r="D339" s="6" t="s">
        <v>40</v>
      </c>
      <c r="E339" s="7" t="s">
        <v>41</v>
      </c>
    </row>
    <row r="340" spans="1:5" x14ac:dyDescent="0.3">
      <c r="A340" s="4" t="s">
        <v>637</v>
      </c>
      <c r="B340" s="5">
        <v>43112</v>
      </c>
      <c r="C340" s="6" t="s">
        <v>638</v>
      </c>
      <c r="D340" s="6" t="s">
        <v>32</v>
      </c>
      <c r="E340" s="7" t="s">
        <v>33</v>
      </c>
    </row>
    <row r="341" spans="1:5" x14ac:dyDescent="0.3">
      <c r="A341" s="4" t="s">
        <v>639</v>
      </c>
      <c r="B341" s="5">
        <v>43175</v>
      </c>
      <c r="C341" s="6" t="s">
        <v>437</v>
      </c>
      <c r="D341" s="6" t="s">
        <v>20</v>
      </c>
      <c r="E341" s="7" t="s">
        <v>21</v>
      </c>
    </row>
    <row r="342" spans="1:5" x14ac:dyDescent="0.3">
      <c r="A342" s="4" t="s">
        <v>640</v>
      </c>
      <c r="B342" s="5">
        <v>43183</v>
      </c>
      <c r="C342" s="6" t="s">
        <v>45</v>
      </c>
      <c r="D342" s="6" t="s">
        <v>57</v>
      </c>
      <c r="E342" s="7" t="s">
        <v>58</v>
      </c>
    </row>
    <row r="343" spans="1:5" x14ac:dyDescent="0.3">
      <c r="A343" s="4" t="s">
        <v>641</v>
      </c>
      <c r="B343" s="5">
        <v>43301</v>
      </c>
      <c r="C343" s="6" t="s">
        <v>642</v>
      </c>
      <c r="D343" s="6" t="s">
        <v>81</v>
      </c>
      <c r="E343" s="7" t="s">
        <v>82</v>
      </c>
    </row>
    <row r="344" spans="1:5" x14ac:dyDescent="0.3">
      <c r="A344" s="4" t="s">
        <v>643</v>
      </c>
      <c r="B344" s="5">
        <v>43214</v>
      </c>
      <c r="C344" s="6" t="s">
        <v>255</v>
      </c>
      <c r="D344" s="6" t="s">
        <v>68</v>
      </c>
      <c r="E344" s="7" t="s">
        <v>69</v>
      </c>
    </row>
    <row r="345" spans="1:5" x14ac:dyDescent="0.3">
      <c r="A345" s="4" t="s">
        <v>644</v>
      </c>
      <c r="B345" s="5">
        <v>43248</v>
      </c>
      <c r="C345" s="6" t="s">
        <v>645</v>
      </c>
      <c r="D345" s="6" t="s">
        <v>40</v>
      </c>
      <c r="E345" s="7" t="s">
        <v>54</v>
      </c>
    </row>
    <row r="346" spans="1:5" x14ac:dyDescent="0.3">
      <c r="A346" s="4" t="s">
        <v>646</v>
      </c>
      <c r="B346" s="5">
        <v>43268</v>
      </c>
      <c r="C346" s="6" t="s">
        <v>647</v>
      </c>
      <c r="D346" s="6" t="s">
        <v>20</v>
      </c>
      <c r="E346" s="7" t="s">
        <v>21</v>
      </c>
    </row>
    <row r="347" spans="1:5" x14ac:dyDescent="0.3">
      <c r="A347" s="4" t="s">
        <v>648</v>
      </c>
      <c r="B347" s="5">
        <v>43134</v>
      </c>
      <c r="C347" s="6" t="s">
        <v>53</v>
      </c>
      <c r="D347" s="6" t="s">
        <v>100</v>
      </c>
      <c r="E347" s="7" t="s">
        <v>101</v>
      </c>
    </row>
    <row r="348" spans="1:5" x14ac:dyDescent="0.3">
      <c r="A348" s="4" t="s">
        <v>649</v>
      </c>
      <c r="B348" s="5">
        <v>43341</v>
      </c>
      <c r="C348" s="6" t="s">
        <v>650</v>
      </c>
      <c r="D348" s="6" t="s">
        <v>20</v>
      </c>
      <c r="E348" s="7" t="s">
        <v>72</v>
      </c>
    </row>
    <row r="349" spans="1:5" x14ac:dyDescent="0.3">
      <c r="A349" s="4" t="s">
        <v>651</v>
      </c>
      <c r="B349" s="5">
        <v>43438</v>
      </c>
      <c r="C349" s="6" t="s">
        <v>201</v>
      </c>
      <c r="D349" s="6" t="s">
        <v>100</v>
      </c>
      <c r="E349" s="7" t="s">
        <v>101</v>
      </c>
    </row>
    <row r="350" spans="1:5" x14ac:dyDescent="0.3">
      <c r="A350" s="4" t="s">
        <v>652</v>
      </c>
      <c r="B350" s="5">
        <v>43185</v>
      </c>
      <c r="C350" s="6" t="s">
        <v>529</v>
      </c>
      <c r="D350" s="6" t="s">
        <v>193</v>
      </c>
      <c r="E350" s="7" t="s">
        <v>193</v>
      </c>
    </row>
    <row r="351" spans="1:5" x14ac:dyDescent="0.3">
      <c r="A351" s="4" t="s">
        <v>653</v>
      </c>
      <c r="B351" s="5">
        <v>43356</v>
      </c>
      <c r="C351" s="6" t="s">
        <v>654</v>
      </c>
      <c r="D351" s="6" t="s">
        <v>32</v>
      </c>
      <c r="E351" s="7" t="s">
        <v>33</v>
      </c>
    </row>
    <row r="352" spans="1:5" x14ac:dyDescent="0.3">
      <c r="A352" s="4" t="s">
        <v>655</v>
      </c>
      <c r="B352" s="5">
        <v>43260</v>
      </c>
      <c r="C352" s="6" t="s">
        <v>656</v>
      </c>
      <c r="D352" s="6" t="s">
        <v>16</v>
      </c>
      <c r="E352" s="7" t="s">
        <v>17</v>
      </c>
    </row>
    <row r="353" spans="1:5" x14ac:dyDescent="0.3">
      <c r="A353" s="4" t="s">
        <v>657</v>
      </c>
      <c r="B353" s="5">
        <v>43315</v>
      </c>
      <c r="C353" s="6" t="s">
        <v>658</v>
      </c>
      <c r="D353" s="6" t="s">
        <v>97</v>
      </c>
      <c r="E353" s="7" t="s">
        <v>69</v>
      </c>
    </row>
    <row r="354" spans="1:5" x14ac:dyDescent="0.3">
      <c r="A354" s="4" t="s">
        <v>659</v>
      </c>
      <c r="B354" s="5">
        <v>43307</v>
      </c>
      <c r="C354" s="6" t="s">
        <v>660</v>
      </c>
      <c r="D354" s="6" t="s">
        <v>140</v>
      </c>
      <c r="E354" s="7" t="s">
        <v>141</v>
      </c>
    </row>
    <row r="355" spans="1:5" x14ac:dyDescent="0.3">
      <c r="A355" s="4" t="s">
        <v>661</v>
      </c>
      <c r="B355" s="5">
        <v>43224</v>
      </c>
      <c r="C355" s="6" t="s">
        <v>549</v>
      </c>
      <c r="D355" s="6" t="s">
        <v>68</v>
      </c>
      <c r="E355" s="7" t="s">
        <v>69</v>
      </c>
    </row>
    <row r="356" spans="1:5" x14ac:dyDescent="0.3">
      <c r="A356" s="4" t="s">
        <v>662</v>
      </c>
      <c r="B356" s="5">
        <v>43155</v>
      </c>
      <c r="C356" s="6" t="s">
        <v>65</v>
      </c>
      <c r="D356" s="6" t="s">
        <v>57</v>
      </c>
      <c r="E356" s="7" t="s">
        <v>58</v>
      </c>
    </row>
    <row r="357" spans="1:5" x14ac:dyDescent="0.3">
      <c r="A357" s="4" t="s">
        <v>663</v>
      </c>
      <c r="B357" s="5">
        <v>43276</v>
      </c>
      <c r="C357" s="6" t="s">
        <v>664</v>
      </c>
      <c r="D357" s="6" t="s">
        <v>16</v>
      </c>
      <c r="E357" s="7" t="s">
        <v>17</v>
      </c>
    </row>
    <row r="358" spans="1:5" x14ac:dyDescent="0.3">
      <c r="A358" s="4" t="s">
        <v>665</v>
      </c>
      <c r="B358" s="5">
        <v>43145</v>
      </c>
      <c r="C358" s="6" t="s">
        <v>363</v>
      </c>
      <c r="D358" s="6" t="s">
        <v>140</v>
      </c>
      <c r="E358" s="7" t="s">
        <v>141</v>
      </c>
    </row>
    <row r="359" spans="1:5" x14ac:dyDescent="0.3">
      <c r="A359" s="4" t="s">
        <v>666</v>
      </c>
      <c r="B359" s="5">
        <v>43280</v>
      </c>
      <c r="C359" s="6" t="s">
        <v>667</v>
      </c>
      <c r="D359" s="6" t="s">
        <v>16</v>
      </c>
      <c r="E359" s="7" t="s">
        <v>17</v>
      </c>
    </row>
    <row r="360" spans="1:5" x14ac:dyDescent="0.3">
      <c r="A360" s="4" t="s">
        <v>668</v>
      </c>
      <c r="B360" s="5">
        <v>43383</v>
      </c>
      <c r="C360" s="6" t="s">
        <v>669</v>
      </c>
      <c r="D360" s="6" t="s">
        <v>16</v>
      </c>
      <c r="E360" s="7" t="s">
        <v>17</v>
      </c>
    </row>
    <row r="361" spans="1:5" x14ac:dyDescent="0.3">
      <c r="A361" s="4" t="s">
        <v>670</v>
      </c>
      <c r="B361" s="5">
        <v>43389</v>
      </c>
      <c r="C361" s="6" t="s">
        <v>270</v>
      </c>
      <c r="D361" s="6" t="s">
        <v>140</v>
      </c>
      <c r="E361" s="7" t="s">
        <v>141</v>
      </c>
    </row>
    <row r="362" spans="1:5" x14ac:dyDescent="0.3">
      <c r="A362" s="4" t="s">
        <v>671</v>
      </c>
      <c r="B362" s="5">
        <v>43428</v>
      </c>
      <c r="C362" s="6" t="s">
        <v>344</v>
      </c>
      <c r="D362" s="6" t="s">
        <v>100</v>
      </c>
      <c r="E362" s="7" t="s">
        <v>101</v>
      </c>
    </row>
    <row r="363" spans="1:5" x14ac:dyDescent="0.3">
      <c r="A363" s="4" t="s">
        <v>672</v>
      </c>
      <c r="B363" s="5">
        <v>43244</v>
      </c>
      <c r="C363" s="6" t="s">
        <v>289</v>
      </c>
      <c r="D363" s="6" t="s">
        <v>61</v>
      </c>
      <c r="E363" s="7" t="s">
        <v>62</v>
      </c>
    </row>
    <row r="364" spans="1:5" x14ac:dyDescent="0.3">
      <c r="A364" s="4" t="s">
        <v>673</v>
      </c>
      <c r="B364" s="5">
        <v>43374</v>
      </c>
      <c r="C364" s="6" t="s">
        <v>674</v>
      </c>
      <c r="D364" s="6" t="s">
        <v>16</v>
      </c>
      <c r="E364" s="7" t="s">
        <v>27</v>
      </c>
    </row>
    <row r="365" spans="1:5" x14ac:dyDescent="0.3">
      <c r="A365" s="4" t="s">
        <v>675</v>
      </c>
      <c r="B365" s="5">
        <v>43101</v>
      </c>
      <c r="C365" s="6" t="s">
        <v>676</v>
      </c>
      <c r="D365" s="6" t="s">
        <v>57</v>
      </c>
      <c r="E365" s="7" t="s">
        <v>58</v>
      </c>
    </row>
    <row r="366" spans="1:5" x14ac:dyDescent="0.3">
      <c r="A366" s="4" t="s">
        <v>677</v>
      </c>
      <c r="B366" s="5">
        <v>43148</v>
      </c>
      <c r="C366" s="6" t="s">
        <v>554</v>
      </c>
      <c r="D366" s="6" t="s">
        <v>75</v>
      </c>
      <c r="E366" s="7" t="s">
        <v>76</v>
      </c>
    </row>
    <row r="367" spans="1:5" x14ac:dyDescent="0.3">
      <c r="A367" s="4" t="s">
        <v>678</v>
      </c>
      <c r="B367" s="5">
        <v>43175</v>
      </c>
      <c r="C367" s="6" t="s">
        <v>679</v>
      </c>
      <c r="D367" s="6" t="s">
        <v>16</v>
      </c>
      <c r="E367" s="7" t="s">
        <v>17</v>
      </c>
    </row>
    <row r="368" spans="1:5" x14ac:dyDescent="0.3">
      <c r="A368" s="4" t="s">
        <v>680</v>
      </c>
      <c r="B368" s="5">
        <v>43430</v>
      </c>
      <c r="C368" s="6" t="s">
        <v>681</v>
      </c>
      <c r="D368" s="6" t="s">
        <v>68</v>
      </c>
      <c r="E368" s="7" t="s">
        <v>175</v>
      </c>
    </row>
    <row r="369" spans="1:5" x14ac:dyDescent="0.3">
      <c r="A369" s="4" t="s">
        <v>682</v>
      </c>
      <c r="B369" s="5">
        <v>43438</v>
      </c>
      <c r="C369" s="6" t="s">
        <v>683</v>
      </c>
      <c r="D369" s="6" t="s">
        <v>20</v>
      </c>
      <c r="E369" s="7" t="s">
        <v>21</v>
      </c>
    </row>
    <row r="370" spans="1:5" x14ac:dyDescent="0.3">
      <c r="A370" s="4" t="s">
        <v>684</v>
      </c>
      <c r="B370" s="5">
        <v>43389</v>
      </c>
      <c r="C370" s="6" t="s">
        <v>685</v>
      </c>
      <c r="D370" s="6" t="s">
        <v>100</v>
      </c>
      <c r="E370" s="7" t="s">
        <v>170</v>
      </c>
    </row>
    <row r="371" spans="1:5" x14ac:dyDescent="0.3">
      <c r="A371" s="4" t="s">
        <v>686</v>
      </c>
      <c r="B371" s="5">
        <v>43437</v>
      </c>
      <c r="C371" s="6" t="s">
        <v>231</v>
      </c>
      <c r="D371" s="6" t="s">
        <v>40</v>
      </c>
      <c r="E371" s="7" t="s">
        <v>41</v>
      </c>
    </row>
    <row r="372" spans="1:5" x14ac:dyDescent="0.3">
      <c r="A372" s="4" t="s">
        <v>687</v>
      </c>
      <c r="B372" s="5">
        <v>43425</v>
      </c>
      <c r="C372" s="6" t="s">
        <v>688</v>
      </c>
      <c r="D372" s="6" t="s">
        <v>40</v>
      </c>
      <c r="E372" s="7" t="s">
        <v>41</v>
      </c>
    </row>
    <row r="373" spans="1:5" x14ac:dyDescent="0.3">
      <c r="A373" s="4" t="s">
        <v>689</v>
      </c>
      <c r="B373" s="5">
        <v>43216</v>
      </c>
      <c r="C373" s="6" t="s">
        <v>690</v>
      </c>
      <c r="D373" s="6" t="s">
        <v>20</v>
      </c>
      <c r="E373" s="7" t="s">
        <v>21</v>
      </c>
    </row>
    <row r="374" spans="1:5" x14ac:dyDescent="0.3">
      <c r="A374" s="4" t="s">
        <v>691</v>
      </c>
      <c r="B374" s="5">
        <v>43205</v>
      </c>
      <c r="C374" s="6" t="s">
        <v>529</v>
      </c>
      <c r="D374" s="6" t="s">
        <v>193</v>
      </c>
      <c r="E374" s="7" t="s">
        <v>193</v>
      </c>
    </row>
    <row r="375" spans="1:5" x14ac:dyDescent="0.3">
      <c r="A375" s="4" t="s">
        <v>692</v>
      </c>
      <c r="B375" s="5">
        <v>43123</v>
      </c>
      <c r="C375" s="6" t="s">
        <v>693</v>
      </c>
      <c r="D375" s="6" t="s">
        <v>100</v>
      </c>
      <c r="E375" s="7" t="s">
        <v>101</v>
      </c>
    </row>
    <row r="376" spans="1:5" x14ac:dyDescent="0.3">
      <c r="A376" s="4" t="s">
        <v>694</v>
      </c>
      <c r="B376" s="5">
        <v>43378</v>
      </c>
      <c r="C376" s="6" t="s">
        <v>198</v>
      </c>
      <c r="D376" s="6" t="s">
        <v>16</v>
      </c>
      <c r="E376" s="7" t="s">
        <v>17</v>
      </c>
    </row>
    <row r="377" spans="1:5" x14ac:dyDescent="0.3">
      <c r="A377" s="4" t="s">
        <v>695</v>
      </c>
      <c r="B377" s="5">
        <v>43419</v>
      </c>
      <c r="C377" s="6" t="s">
        <v>489</v>
      </c>
      <c r="D377" s="6" t="s">
        <v>130</v>
      </c>
      <c r="E377" s="7" t="s">
        <v>131</v>
      </c>
    </row>
    <row r="378" spans="1:5" x14ac:dyDescent="0.3">
      <c r="A378" s="4" t="s">
        <v>696</v>
      </c>
      <c r="B378" s="5">
        <v>43181</v>
      </c>
      <c r="C378" s="6" t="s">
        <v>697</v>
      </c>
      <c r="D378" s="6" t="s">
        <v>156</v>
      </c>
      <c r="E378" s="7" t="s">
        <v>157</v>
      </c>
    </row>
    <row r="379" spans="1:5" x14ac:dyDescent="0.3">
      <c r="A379" s="4" t="s">
        <v>698</v>
      </c>
      <c r="B379" s="5">
        <v>43380</v>
      </c>
      <c r="C379" s="6" t="s">
        <v>699</v>
      </c>
      <c r="D379" s="6" t="s">
        <v>7</v>
      </c>
      <c r="E379" s="7" t="s">
        <v>120</v>
      </c>
    </row>
    <row r="380" spans="1:5" x14ac:dyDescent="0.3">
      <c r="A380" s="4" t="s">
        <v>700</v>
      </c>
      <c r="B380" s="5">
        <v>43310</v>
      </c>
      <c r="C380" s="6" t="s">
        <v>253</v>
      </c>
      <c r="D380" s="6" t="s">
        <v>20</v>
      </c>
      <c r="E380" s="7" t="s">
        <v>21</v>
      </c>
    </row>
    <row r="381" spans="1:5" x14ac:dyDescent="0.3">
      <c r="A381" s="4" t="s">
        <v>701</v>
      </c>
      <c r="B381" s="5">
        <v>43428</v>
      </c>
      <c r="C381" s="6" t="s">
        <v>702</v>
      </c>
      <c r="D381" s="6" t="s">
        <v>100</v>
      </c>
      <c r="E381" s="7" t="s">
        <v>101</v>
      </c>
    </row>
    <row r="382" spans="1:5" x14ac:dyDescent="0.3">
      <c r="A382" s="4" t="s">
        <v>703</v>
      </c>
      <c r="B382" s="5">
        <v>43104</v>
      </c>
      <c r="C382" s="6" t="s">
        <v>704</v>
      </c>
      <c r="D382" s="6" t="s">
        <v>20</v>
      </c>
      <c r="E382" s="7" t="s">
        <v>21</v>
      </c>
    </row>
    <row r="383" spans="1:5" x14ac:dyDescent="0.3">
      <c r="A383" s="4" t="s">
        <v>705</v>
      </c>
      <c r="B383" s="5">
        <v>43451</v>
      </c>
      <c r="C383" s="6" t="s">
        <v>706</v>
      </c>
      <c r="D383" s="6" t="s">
        <v>11</v>
      </c>
      <c r="E383" s="7" t="s">
        <v>11</v>
      </c>
    </row>
    <row r="384" spans="1:5" x14ac:dyDescent="0.3">
      <c r="A384" s="4" t="s">
        <v>707</v>
      </c>
      <c r="B384" s="5">
        <v>43450</v>
      </c>
      <c r="C384" s="6" t="s">
        <v>708</v>
      </c>
      <c r="D384" s="6" t="s">
        <v>11</v>
      </c>
      <c r="E384" s="7" t="s">
        <v>11</v>
      </c>
    </row>
    <row r="385" spans="1:5" x14ac:dyDescent="0.3">
      <c r="A385" s="4" t="s">
        <v>709</v>
      </c>
      <c r="B385" s="5">
        <v>43393</v>
      </c>
      <c r="C385" s="6" t="s">
        <v>710</v>
      </c>
      <c r="D385" s="6" t="s">
        <v>20</v>
      </c>
      <c r="E385" s="7" t="s">
        <v>21</v>
      </c>
    </row>
    <row r="386" spans="1:5" x14ac:dyDescent="0.3">
      <c r="A386" s="4" t="s">
        <v>711</v>
      </c>
      <c r="B386" s="5">
        <v>43287</v>
      </c>
      <c r="C386" s="6" t="s">
        <v>453</v>
      </c>
      <c r="D386" s="6" t="s">
        <v>20</v>
      </c>
      <c r="E386" s="7" t="s">
        <v>72</v>
      </c>
    </row>
    <row r="387" spans="1:5" x14ac:dyDescent="0.3">
      <c r="A387" s="4" t="s">
        <v>712</v>
      </c>
      <c r="B387" s="5">
        <v>43419</v>
      </c>
      <c r="C387" s="6" t="s">
        <v>713</v>
      </c>
      <c r="D387" s="6" t="s">
        <v>16</v>
      </c>
      <c r="E387" s="7" t="s">
        <v>17</v>
      </c>
    </row>
    <row r="388" spans="1:5" x14ac:dyDescent="0.3">
      <c r="A388" s="4" t="s">
        <v>714</v>
      </c>
      <c r="B388" s="5">
        <v>43455</v>
      </c>
      <c r="C388" s="6" t="s">
        <v>441</v>
      </c>
      <c r="D388" s="6" t="s">
        <v>16</v>
      </c>
      <c r="E388" s="7" t="s">
        <v>17</v>
      </c>
    </row>
    <row r="389" spans="1:5" x14ac:dyDescent="0.3">
      <c r="A389" s="4" t="s">
        <v>715</v>
      </c>
      <c r="B389" s="5">
        <v>43164</v>
      </c>
      <c r="C389" s="6" t="s">
        <v>86</v>
      </c>
      <c r="D389" s="6" t="s">
        <v>20</v>
      </c>
      <c r="E389" s="7" t="s">
        <v>72</v>
      </c>
    </row>
    <row r="390" spans="1:5" x14ac:dyDescent="0.3">
      <c r="A390" s="4" t="s">
        <v>716</v>
      </c>
      <c r="B390" s="5">
        <v>43458</v>
      </c>
      <c r="C390" s="6" t="s">
        <v>717</v>
      </c>
      <c r="D390" s="6" t="s">
        <v>7</v>
      </c>
      <c r="E390" s="7" t="s">
        <v>24</v>
      </c>
    </row>
    <row r="391" spans="1:5" x14ac:dyDescent="0.3">
      <c r="A391" s="4" t="s">
        <v>718</v>
      </c>
      <c r="B391" s="5">
        <v>43275</v>
      </c>
      <c r="C391" s="6" t="s">
        <v>719</v>
      </c>
      <c r="D391" s="6" t="s">
        <v>7</v>
      </c>
      <c r="E391" s="7" t="s">
        <v>120</v>
      </c>
    </row>
    <row r="392" spans="1:5" x14ac:dyDescent="0.3">
      <c r="A392" s="4" t="s">
        <v>720</v>
      </c>
      <c r="B392" s="5">
        <v>43311</v>
      </c>
      <c r="C392" s="6" t="s">
        <v>721</v>
      </c>
      <c r="D392" s="6" t="s">
        <v>7</v>
      </c>
      <c r="E392" s="7" t="s">
        <v>120</v>
      </c>
    </row>
    <row r="393" spans="1:5" x14ac:dyDescent="0.3">
      <c r="A393" s="4" t="s">
        <v>722</v>
      </c>
      <c r="B393" s="5">
        <v>43277</v>
      </c>
      <c r="C393" s="6" t="s">
        <v>723</v>
      </c>
      <c r="D393" s="6" t="s">
        <v>20</v>
      </c>
      <c r="E393" s="7" t="s">
        <v>21</v>
      </c>
    </row>
    <row r="394" spans="1:5" x14ac:dyDescent="0.3">
      <c r="A394" s="4" t="s">
        <v>724</v>
      </c>
      <c r="B394" s="5">
        <v>43186</v>
      </c>
      <c r="C394" s="6" t="s">
        <v>461</v>
      </c>
      <c r="D394" s="6" t="s">
        <v>40</v>
      </c>
      <c r="E394" s="7" t="s">
        <v>54</v>
      </c>
    </row>
    <row r="395" spans="1:5" x14ac:dyDescent="0.3">
      <c r="A395" s="4" t="s">
        <v>725</v>
      </c>
      <c r="B395" s="5">
        <v>43182</v>
      </c>
      <c r="C395" s="6" t="s">
        <v>264</v>
      </c>
      <c r="D395" s="6" t="s">
        <v>7</v>
      </c>
      <c r="E395" s="7" t="s">
        <v>120</v>
      </c>
    </row>
    <row r="396" spans="1:5" x14ac:dyDescent="0.3">
      <c r="A396" s="4" t="s">
        <v>726</v>
      </c>
      <c r="B396" s="5">
        <v>43387</v>
      </c>
      <c r="C396" s="6" t="s">
        <v>727</v>
      </c>
      <c r="D396" s="6" t="s">
        <v>20</v>
      </c>
      <c r="E396" s="7" t="s">
        <v>21</v>
      </c>
    </row>
    <row r="397" spans="1:5" x14ac:dyDescent="0.3">
      <c r="A397" s="4" t="s">
        <v>728</v>
      </c>
      <c r="B397" s="5">
        <v>43407</v>
      </c>
      <c r="C397" s="6" t="s">
        <v>729</v>
      </c>
      <c r="D397" s="6" t="s">
        <v>68</v>
      </c>
      <c r="E397" s="7" t="s">
        <v>69</v>
      </c>
    </row>
    <row r="398" spans="1:5" x14ac:dyDescent="0.3">
      <c r="A398" s="4" t="s">
        <v>730</v>
      </c>
      <c r="B398" s="5">
        <v>43143</v>
      </c>
      <c r="C398" s="6" t="s">
        <v>161</v>
      </c>
      <c r="D398" s="6" t="s">
        <v>40</v>
      </c>
      <c r="E398" s="7" t="s">
        <v>54</v>
      </c>
    </row>
    <row r="399" spans="1:5" x14ac:dyDescent="0.3">
      <c r="A399" s="4" t="s">
        <v>731</v>
      </c>
      <c r="B399" s="5">
        <v>43214</v>
      </c>
      <c r="C399" s="6" t="s">
        <v>588</v>
      </c>
      <c r="D399" s="6" t="s">
        <v>97</v>
      </c>
      <c r="E399" s="7" t="s">
        <v>69</v>
      </c>
    </row>
    <row r="400" spans="1:5" x14ac:dyDescent="0.3">
      <c r="A400" s="4" t="s">
        <v>732</v>
      </c>
      <c r="B400" s="5">
        <v>43196</v>
      </c>
      <c r="C400" s="6" t="s">
        <v>425</v>
      </c>
      <c r="D400" s="6" t="s">
        <v>104</v>
      </c>
      <c r="E400" s="7" t="s">
        <v>105</v>
      </c>
    </row>
    <row r="401" spans="1:5" x14ac:dyDescent="0.3">
      <c r="A401" s="4" t="s">
        <v>733</v>
      </c>
      <c r="B401" s="5">
        <v>43322</v>
      </c>
      <c r="C401" s="6" t="s">
        <v>215</v>
      </c>
      <c r="D401" s="6" t="s">
        <v>16</v>
      </c>
      <c r="E401" s="7" t="s">
        <v>27</v>
      </c>
    </row>
    <row r="402" spans="1:5" x14ac:dyDescent="0.3">
      <c r="A402" s="4" t="s">
        <v>734</v>
      </c>
      <c r="B402" s="5">
        <v>43139</v>
      </c>
      <c r="C402" s="6" t="s">
        <v>735</v>
      </c>
      <c r="D402" s="6" t="s">
        <v>140</v>
      </c>
      <c r="E402" s="7" t="s">
        <v>141</v>
      </c>
    </row>
    <row r="403" spans="1:5" x14ac:dyDescent="0.3">
      <c r="A403" s="4" t="s">
        <v>736</v>
      </c>
      <c r="B403" s="5">
        <v>43407</v>
      </c>
      <c r="C403" s="6" t="s">
        <v>737</v>
      </c>
      <c r="D403" s="6" t="s">
        <v>20</v>
      </c>
      <c r="E403" s="7" t="s">
        <v>21</v>
      </c>
    </row>
    <row r="404" spans="1:5" x14ac:dyDescent="0.3">
      <c r="A404" s="4" t="s">
        <v>738</v>
      </c>
      <c r="B404" s="5">
        <v>43423</v>
      </c>
      <c r="C404" s="6" t="s">
        <v>739</v>
      </c>
      <c r="D404" s="6" t="s">
        <v>81</v>
      </c>
      <c r="E404" s="7" t="s">
        <v>82</v>
      </c>
    </row>
    <row r="405" spans="1:5" x14ac:dyDescent="0.3">
      <c r="A405" s="4" t="s">
        <v>740</v>
      </c>
      <c r="B405" s="5">
        <v>43175</v>
      </c>
      <c r="C405" s="6" t="s">
        <v>127</v>
      </c>
      <c r="D405" s="6" t="s">
        <v>16</v>
      </c>
      <c r="E405" s="7" t="s">
        <v>27</v>
      </c>
    </row>
    <row r="406" spans="1:5" x14ac:dyDescent="0.3">
      <c r="A406" s="4" t="s">
        <v>741</v>
      </c>
      <c r="B406" s="5">
        <v>43419</v>
      </c>
      <c r="C406" s="6" t="s">
        <v>742</v>
      </c>
      <c r="D406" s="6" t="s">
        <v>20</v>
      </c>
      <c r="E406" s="7" t="s">
        <v>21</v>
      </c>
    </row>
    <row r="407" spans="1:5" x14ac:dyDescent="0.3">
      <c r="A407" s="4" t="s">
        <v>743</v>
      </c>
      <c r="B407" s="5">
        <v>43156</v>
      </c>
      <c r="C407" s="6" t="s">
        <v>107</v>
      </c>
      <c r="D407" s="6" t="s">
        <v>75</v>
      </c>
      <c r="E407" s="7" t="s">
        <v>76</v>
      </c>
    </row>
    <row r="408" spans="1:5" x14ac:dyDescent="0.3">
      <c r="A408" s="4" t="s">
        <v>744</v>
      </c>
      <c r="B408" s="5">
        <v>43454</v>
      </c>
      <c r="C408" s="6" t="s">
        <v>745</v>
      </c>
      <c r="D408" s="6" t="s">
        <v>40</v>
      </c>
      <c r="E408" s="7" t="s">
        <v>41</v>
      </c>
    </row>
    <row r="409" spans="1:5" x14ac:dyDescent="0.3">
      <c r="A409" s="4" t="s">
        <v>746</v>
      </c>
      <c r="B409" s="5">
        <v>43186</v>
      </c>
      <c r="C409" s="6" t="s">
        <v>497</v>
      </c>
      <c r="D409" s="6" t="s">
        <v>81</v>
      </c>
      <c r="E409" s="7" t="s">
        <v>82</v>
      </c>
    </row>
    <row r="410" spans="1:5" x14ac:dyDescent="0.3">
      <c r="A410" s="4" t="s">
        <v>747</v>
      </c>
      <c r="B410" s="5">
        <v>43131</v>
      </c>
      <c r="C410" s="6" t="s">
        <v>748</v>
      </c>
      <c r="D410" s="6" t="s">
        <v>11</v>
      </c>
      <c r="E410" s="7" t="s">
        <v>11</v>
      </c>
    </row>
    <row r="411" spans="1:5" x14ac:dyDescent="0.3">
      <c r="A411" s="4" t="s">
        <v>749</v>
      </c>
      <c r="B411" s="5">
        <v>43445</v>
      </c>
      <c r="C411" s="6" t="s">
        <v>750</v>
      </c>
      <c r="D411" s="6" t="s">
        <v>11</v>
      </c>
      <c r="E411" s="7" t="s">
        <v>11</v>
      </c>
    </row>
    <row r="412" spans="1:5" x14ac:dyDescent="0.3">
      <c r="A412" s="4" t="s">
        <v>751</v>
      </c>
      <c r="B412" s="5">
        <v>43145</v>
      </c>
      <c r="C412" s="6" t="s">
        <v>697</v>
      </c>
      <c r="D412" s="6" t="s">
        <v>156</v>
      </c>
      <c r="E412" s="7" t="s">
        <v>157</v>
      </c>
    </row>
    <row r="413" spans="1:5" x14ac:dyDescent="0.3">
      <c r="A413" s="4" t="s">
        <v>752</v>
      </c>
      <c r="B413" s="5">
        <v>43220</v>
      </c>
      <c r="C413" s="6" t="s">
        <v>361</v>
      </c>
      <c r="D413" s="6" t="s">
        <v>16</v>
      </c>
      <c r="E413" s="7" t="s">
        <v>17</v>
      </c>
    </row>
    <row r="414" spans="1:5" x14ac:dyDescent="0.3">
      <c r="A414" s="4" t="s">
        <v>753</v>
      </c>
      <c r="B414" s="5">
        <v>43255</v>
      </c>
      <c r="C414" s="6" t="s">
        <v>754</v>
      </c>
      <c r="D414" s="6" t="s">
        <v>16</v>
      </c>
      <c r="E414" s="7" t="s">
        <v>17</v>
      </c>
    </row>
    <row r="415" spans="1:5" x14ac:dyDescent="0.3">
      <c r="A415" s="4" t="s">
        <v>755</v>
      </c>
      <c r="B415" s="5">
        <v>43299</v>
      </c>
      <c r="C415" s="6" t="s">
        <v>756</v>
      </c>
      <c r="D415" s="6" t="s">
        <v>16</v>
      </c>
      <c r="E415" s="7" t="s">
        <v>17</v>
      </c>
    </row>
    <row r="416" spans="1:5" x14ac:dyDescent="0.3">
      <c r="A416" s="4" t="s">
        <v>757</v>
      </c>
      <c r="B416" s="5">
        <v>43195</v>
      </c>
      <c r="C416" s="6" t="s">
        <v>363</v>
      </c>
      <c r="D416" s="6" t="s">
        <v>140</v>
      </c>
      <c r="E416" s="7" t="s">
        <v>141</v>
      </c>
    </row>
    <row r="417" spans="1:5" x14ac:dyDescent="0.3">
      <c r="A417" s="4" t="s">
        <v>758</v>
      </c>
      <c r="B417" s="5">
        <v>43367</v>
      </c>
      <c r="C417" s="6" t="s">
        <v>231</v>
      </c>
      <c r="D417" s="6" t="s">
        <v>16</v>
      </c>
      <c r="E417" s="7" t="s">
        <v>17</v>
      </c>
    </row>
    <row r="418" spans="1:5" x14ac:dyDescent="0.3">
      <c r="A418" s="4" t="s">
        <v>759</v>
      </c>
      <c r="B418" s="5">
        <v>43255</v>
      </c>
      <c r="C418" s="6" t="s">
        <v>475</v>
      </c>
      <c r="D418" s="6" t="s">
        <v>20</v>
      </c>
      <c r="E418" s="7" t="s">
        <v>21</v>
      </c>
    </row>
    <row r="419" spans="1:5" x14ac:dyDescent="0.3">
      <c r="A419" s="4" t="s">
        <v>760</v>
      </c>
      <c r="B419" s="5">
        <v>43104</v>
      </c>
      <c r="C419" s="6" t="s">
        <v>761</v>
      </c>
      <c r="D419" s="6" t="s">
        <v>16</v>
      </c>
      <c r="E419" s="7" t="s">
        <v>17</v>
      </c>
    </row>
    <row r="420" spans="1:5" x14ac:dyDescent="0.3">
      <c r="A420" s="4" t="s">
        <v>762</v>
      </c>
      <c r="B420" s="5">
        <v>43104</v>
      </c>
      <c r="C420" s="6" t="s">
        <v>763</v>
      </c>
      <c r="D420" s="6" t="s">
        <v>20</v>
      </c>
      <c r="E420" s="7" t="s">
        <v>21</v>
      </c>
    </row>
    <row r="421" spans="1:5" x14ac:dyDescent="0.3">
      <c r="A421" s="4" t="s">
        <v>764</v>
      </c>
      <c r="B421" s="5">
        <v>43133</v>
      </c>
      <c r="C421" s="6" t="s">
        <v>765</v>
      </c>
      <c r="D421" s="6" t="s">
        <v>11</v>
      </c>
      <c r="E421" s="7" t="s">
        <v>11</v>
      </c>
    </row>
    <row r="422" spans="1:5" x14ac:dyDescent="0.3">
      <c r="A422" s="4" t="s">
        <v>766</v>
      </c>
      <c r="B422" s="5">
        <v>43205</v>
      </c>
      <c r="C422" s="6" t="s">
        <v>617</v>
      </c>
      <c r="D422" s="6" t="s">
        <v>304</v>
      </c>
      <c r="E422" s="7" t="s">
        <v>305</v>
      </c>
    </row>
    <row r="423" spans="1:5" x14ac:dyDescent="0.3">
      <c r="A423" s="4" t="s">
        <v>767</v>
      </c>
      <c r="B423" s="5">
        <v>43153</v>
      </c>
      <c r="C423" s="6" t="s">
        <v>477</v>
      </c>
      <c r="D423" s="6" t="s">
        <v>20</v>
      </c>
      <c r="E423" s="7" t="s">
        <v>72</v>
      </c>
    </row>
    <row r="424" spans="1:5" x14ac:dyDescent="0.3">
      <c r="A424" s="4" t="s">
        <v>768</v>
      </c>
      <c r="B424" s="5">
        <v>43374</v>
      </c>
      <c r="C424" s="6" t="s">
        <v>769</v>
      </c>
      <c r="D424" s="6" t="s">
        <v>20</v>
      </c>
      <c r="E424" s="7" t="s">
        <v>72</v>
      </c>
    </row>
    <row r="425" spans="1:5" x14ac:dyDescent="0.3">
      <c r="A425" s="4" t="s">
        <v>770</v>
      </c>
      <c r="B425" s="5">
        <v>43402</v>
      </c>
      <c r="C425" s="6" t="s">
        <v>771</v>
      </c>
      <c r="D425" s="6" t="s">
        <v>20</v>
      </c>
      <c r="E425" s="7" t="s">
        <v>21</v>
      </c>
    </row>
    <row r="426" spans="1:5" x14ac:dyDescent="0.3">
      <c r="A426" s="4" t="s">
        <v>772</v>
      </c>
      <c r="B426" s="5">
        <v>43181</v>
      </c>
      <c r="C426" s="6" t="s">
        <v>435</v>
      </c>
      <c r="D426" s="6" t="s">
        <v>100</v>
      </c>
      <c r="E426" s="7" t="s">
        <v>170</v>
      </c>
    </row>
    <row r="427" spans="1:5" x14ac:dyDescent="0.3">
      <c r="A427" s="4" t="s">
        <v>773</v>
      </c>
      <c r="B427" s="5">
        <v>43105</v>
      </c>
      <c r="C427" s="6" t="s">
        <v>774</v>
      </c>
      <c r="D427" s="6" t="s">
        <v>68</v>
      </c>
      <c r="E427" s="7" t="s">
        <v>69</v>
      </c>
    </row>
    <row r="428" spans="1:5" x14ac:dyDescent="0.3">
      <c r="A428" s="4" t="s">
        <v>775</v>
      </c>
      <c r="B428" s="5">
        <v>43105</v>
      </c>
      <c r="C428" s="6" t="s">
        <v>433</v>
      </c>
      <c r="D428" s="6" t="s">
        <v>61</v>
      </c>
      <c r="E428" s="7" t="s">
        <v>62</v>
      </c>
    </row>
    <row r="429" spans="1:5" x14ac:dyDescent="0.3">
      <c r="A429" s="4" t="s">
        <v>776</v>
      </c>
      <c r="B429" s="5">
        <v>43292</v>
      </c>
      <c r="C429" s="6" t="s">
        <v>117</v>
      </c>
      <c r="D429" s="6" t="s">
        <v>130</v>
      </c>
      <c r="E429" s="7" t="s">
        <v>131</v>
      </c>
    </row>
    <row r="430" spans="1:5" x14ac:dyDescent="0.3">
      <c r="A430" s="4" t="s">
        <v>777</v>
      </c>
      <c r="B430" s="5">
        <v>43315</v>
      </c>
      <c r="C430" s="6" t="s">
        <v>778</v>
      </c>
      <c r="D430" s="6" t="s">
        <v>16</v>
      </c>
      <c r="E430" s="7" t="s">
        <v>17</v>
      </c>
    </row>
    <row r="431" spans="1:5" x14ac:dyDescent="0.3">
      <c r="A431" s="4" t="s">
        <v>779</v>
      </c>
      <c r="B431" s="5">
        <v>43339</v>
      </c>
      <c r="C431" s="6" t="s">
        <v>780</v>
      </c>
      <c r="D431" s="6" t="s">
        <v>40</v>
      </c>
      <c r="E431" s="7" t="s">
        <v>54</v>
      </c>
    </row>
    <row r="432" spans="1:5" x14ac:dyDescent="0.3">
      <c r="A432" s="4" t="s">
        <v>781</v>
      </c>
      <c r="B432" s="5">
        <v>43426</v>
      </c>
      <c r="C432" s="6" t="s">
        <v>638</v>
      </c>
      <c r="D432" s="6" t="s">
        <v>16</v>
      </c>
      <c r="E432" s="7" t="s">
        <v>17</v>
      </c>
    </row>
    <row r="433" spans="1:5" x14ac:dyDescent="0.3">
      <c r="A433" s="4" t="s">
        <v>782</v>
      </c>
      <c r="B433" s="5">
        <v>43428</v>
      </c>
      <c r="C433" s="6" t="s">
        <v>125</v>
      </c>
      <c r="D433" s="6" t="s">
        <v>20</v>
      </c>
      <c r="E433" s="7" t="s">
        <v>21</v>
      </c>
    </row>
    <row r="434" spans="1:5" x14ac:dyDescent="0.3">
      <c r="A434" s="4" t="s">
        <v>783</v>
      </c>
      <c r="B434" s="5">
        <v>43464</v>
      </c>
      <c r="C434" s="6" t="s">
        <v>784</v>
      </c>
      <c r="D434" s="6" t="s">
        <v>20</v>
      </c>
      <c r="E434" s="7" t="s">
        <v>21</v>
      </c>
    </row>
    <row r="435" spans="1:5" x14ac:dyDescent="0.3">
      <c r="A435" s="4" t="s">
        <v>785</v>
      </c>
      <c r="B435" s="5">
        <v>43180</v>
      </c>
      <c r="C435" s="6" t="s">
        <v>161</v>
      </c>
      <c r="D435" s="6" t="s">
        <v>40</v>
      </c>
      <c r="E435" s="7" t="s">
        <v>54</v>
      </c>
    </row>
    <row r="436" spans="1:5" x14ac:dyDescent="0.3">
      <c r="A436" s="4" t="s">
        <v>786</v>
      </c>
      <c r="B436" s="5">
        <v>43213</v>
      </c>
      <c r="C436" s="6" t="s">
        <v>259</v>
      </c>
      <c r="D436" s="6" t="s">
        <v>20</v>
      </c>
      <c r="E436" s="7" t="s">
        <v>21</v>
      </c>
    </row>
    <row r="437" spans="1:5" x14ac:dyDescent="0.3">
      <c r="A437" s="4" t="s">
        <v>787</v>
      </c>
      <c r="B437" s="5">
        <v>43106</v>
      </c>
      <c r="C437" s="6" t="s">
        <v>788</v>
      </c>
      <c r="D437" s="6" t="s">
        <v>193</v>
      </c>
      <c r="E437" s="7" t="s">
        <v>193</v>
      </c>
    </row>
    <row r="438" spans="1:5" x14ac:dyDescent="0.3">
      <c r="A438" s="4" t="s">
        <v>789</v>
      </c>
      <c r="B438" s="5">
        <v>43163</v>
      </c>
      <c r="C438" s="6" t="s">
        <v>690</v>
      </c>
      <c r="D438" s="6" t="s">
        <v>20</v>
      </c>
      <c r="E438" s="7" t="s">
        <v>21</v>
      </c>
    </row>
    <row r="439" spans="1:5" x14ac:dyDescent="0.3">
      <c r="A439" s="4" t="s">
        <v>790</v>
      </c>
      <c r="B439" s="5">
        <v>43176</v>
      </c>
      <c r="C439" s="6" t="s">
        <v>632</v>
      </c>
      <c r="D439" s="6" t="s">
        <v>140</v>
      </c>
      <c r="E439" s="7" t="s">
        <v>141</v>
      </c>
    </row>
    <row r="440" spans="1:5" x14ac:dyDescent="0.3">
      <c r="A440" s="4" t="s">
        <v>791</v>
      </c>
      <c r="B440" s="5">
        <v>43151</v>
      </c>
      <c r="C440" s="6" t="s">
        <v>497</v>
      </c>
      <c r="D440" s="6" t="s">
        <v>81</v>
      </c>
      <c r="E440" s="7" t="s">
        <v>82</v>
      </c>
    </row>
    <row r="441" spans="1:5" x14ac:dyDescent="0.3">
      <c r="A441" s="4" t="s">
        <v>792</v>
      </c>
      <c r="B441" s="5">
        <v>43119</v>
      </c>
      <c r="C441" s="6" t="s">
        <v>793</v>
      </c>
      <c r="D441" s="6" t="s">
        <v>16</v>
      </c>
      <c r="E441" s="7" t="s">
        <v>17</v>
      </c>
    </row>
    <row r="442" spans="1:5" x14ac:dyDescent="0.3">
      <c r="A442" s="4" t="s">
        <v>794</v>
      </c>
      <c r="B442" s="5">
        <v>43460</v>
      </c>
      <c r="C442" s="6" t="s">
        <v>795</v>
      </c>
      <c r="D442" s="6" t="s">
        <v>40</v>
      </c>
      <c r="E442" s="7" t="s">
        <v>41</v>
      </c>
    </row>
    <row r="443" spans="1:5" x14ac:dyDescent="0.3">
      <c r="A443" s="4" t="s">
        <v>796</v>
      </c>
      <c r="B443" s="5">
        <v>43420</v>
      </c>
      <c r="C443" s="6" t="s">
        <v>511</v>
      </c>
      <c r="D443" s="6" t="s">
        <v>61</v>
      </c>
      <c r="E443" s="7" t="s">
        <v>62</v>
      </c>
    </row>
    <row r="444" spans="1:5" x14ac:dyDescent="0.3">
      <c r="A444" s="4" t="s">
        <v>797</v>
      </c>
      <c r="B444" s="5">
        <v>43196</v>
      </c>
      <c r="C444" s="6" t="s">
        <v>697</v>
      </c>
      <c r="D444" s="6" t="s">
        <v>156</v>
      </c>
      <c r="E444" s="7" t="s">
        <v>157</v>
      </c>
    </row>
    <row r="445" spans="1:5" x14ac:dyDescent="0.3">
      <c r="A445" s="4" t="s">
        <v>798</v>
      </c>
      <c r="B445" s="5">
        <v>43351</v>
      </c>
      <c r="C445" s="6" t="s">
        <v>799</v>
      </c>
      <c r="D445" s="6" t="s">
        <v>97</v>
      </c>
      <c r="E445" s="7" t="s">
        <v>69</v>
      </c>
    </row>
    <row r="446" spans="1:5" x14ac:dyDescent="0.3">
      <c r="A446" s="4" t="s">
        <v>800</v>
      </c>
      <c r="B446" s="5">
        <v>43135</v>
      </c>
      <c r="C446" s="6" t="s">
        <v>801</v>
      </c>
      <c r="D446" s="6" t="s">
        <v>100</v>
      </c>
      <c r="E446" s="7" t="s">
        <v>101</v>
      </c>
    </row>
    <row r="447" spans="1:5" x14ac:dyDescent="0.3">
      <c r="A447" s="4" t="s">
        <v>802</v>
      </c>
      <c r="B447" s="5">
        <v>43174</v>
      </c>
      <c r="C447" s="6" t="s">
        <v>556</v>
      </c>
      <c r="D447" s="6" t="s">
        <v>193</v>
      </c>
      <c r="E447" s="7" t="s">
        <v>193</v>
      </c>
    </row>
    <row r="448" spans="1:5" x14ac:dyDescent="0.3">
      <c r="A448" s="4" t="s">
        <v>803</v>
      </c>
      <c r="B448" s="5">
        <v>43298</v>
      </c>
      <c r="C448" s="6" t="s">
        <v>804</v>
      </c>
      <c r="D448" s="6" t="s">
        <v>61</v>
      </c>
      <c r="E448" s="7" t="s">
        <v>62</v>
      </c>
    </row>
    <row r="449" spans="1:5" x14ac:dyDescent="0.3">
      <c r="A449" s="4" t="s">
        <v>805</v>
      </c>
      <c r="B449" s="5">
        <v>43352</v>
      </c>
      <c r="C449" s="6" t="s">
        <v>806</v>
      </c>
      <c r="D449" s="6" t="s">
        <v>16</v>
      </c>
      <c r="E449" s="7" t="s">
        <v>17</v>
      </c>
    </row>
    <row r="450" spans="1:5" x14ac:dyDescent="0.3">
      <c r="A450" s="4" t="s">
        <v>807</v>
      </c>
      <c r="B450" s="5">
        <v>43153</v>
      </c>
      <c r="C450" s="6" t="s">
        <v>374</v>
      </c>
      <c r="D450" s="6" t="s">
        <v>100</v>
      </c>
      <c r="E450" s="7" t="s">
        <v>170</v>
      </c>
    </row>
    <row r="451" spans="1:5" x14ac:dyDescent="0.3">
      <c r="A451" s="4" t="s">
        <v>808</v>
      </c>
      <c r="B451" s="5">
        <v>43281</v>
      </c>
      <c r="C451" s="6" t="s">
        <v>229</v>
      </c>
      <c r="D451" s="6" t="s">
        <v>20</v>
      </c>
      <c r="E451" s="7" t="s">
        <v>21</v>
      </c>
    </row>
    <row r="452" spans="1:5" x14ac:dyDescent="0.3">
      <c r="A452" s="4" t="s">
        <v>809</v>
      </c>
      <c r="B452" s="5">
        <v>43214</v>
      </c>
      <c r="C452" s="6" t="s">
        <v>65</v>
      </c>
      <c r="D452" s="6" t="s">
        <v>57</v>
      </c>
      <c r="E452" s="7" t="s">
        <v>58</v>
      </c>
    </row>
    <row r="453" spans="1:5" x14ac:dyDescent="0.3">
      <c r="A453" s="4" t="s">
        <v>810</v>
      </c>
      <c r="B453" s="5">
        <v>43309</v>
      </c>
      <c r="C453" s="6" t="s">
        <v>811</v>
      </c>
      <c r="D453" s="6" t="s">
        <v>16</v>
      </c>
      <c r="E453" s="7" t="s">
        <v>17</v>
      </c>
    </row>
    <row r="454" spans="1:5" x14ac:dyDescent="0.3">
      <c r="A454" s="4" t="s">
        <v>812</v>
      </c>
      <c r="B454" s="5">
        <v>43223</v>
      </c>
      <c r="C454" s="6" t="s">
        <v>293</v>
      </c>
      <c r="D454" s="6" t="s">
        <v>75</v>
      </c>
      <c r="E454" s="7" t="s">
        <v>76</v>
      </c>
    </row>
    <row r="455" spans="1:5" x14ac:dyDescent="0.3">
      <c r="A455" s="4" t="s">
        <v>813</v>
      </c>
      <c r="B455" s="5">
        <v>43366</v>
      </c>
      <c r="C455" s="6" t="s">
        <v>814</v>
      </c>
      <c r="D455" s="6" t="s">
        <v>57</v>
      </c>
      <c r="E455" s="7" t="s">
        <v>58</v>
      </c>
    </row>
    <row r="456" spans="1:5" x14ac:dyDescent="0.3">
      <c r="A456" s="4" t="s">
        <v>815</v>
      </c>
      <c r="B456" s="5">
        <v>43282</v>
      </c>
      <c r="C456" s="6" t="s">
        <v>816</v>
      </c>
      <c r="D456" s="6" t="s">
        <v>20</v>
      </c>
      <c r="E456" s="7" t="s">
        <v>21</v>
      </c>
    </row>
    <row r="457" spans="1:5" x14ac:dyDescent="0.3">
      <c r="A457" s="4" t="s">
        <v>817</v>
      </c>
      <c r="B457" s="5">
        <v>43449</v>
      </c>
      <c r="C457" s="6" t="s">
        <v>818</v>
      </c>
      <c r="D457" s="6" t="s">
        <v>20</v>
      </c>
      <c r="E457" s="7" t="s">
        <v>72</v>
      </c>
    </row>
    <row r="458" spans="1:5" x14ac:dyDescent="0.3">
      <c r="A458" s="4" t="s">
        <v>819</v>
      </c>
      <c r="B458" s="5">
        <v>43350</v>
      </c>
      <c r="C458" s="6" t="s">
        <v>820</v>
      </c>
      <c r="D458" s="6" t="s">
        <v>68</v>
      </c>
      <c r="E458" s="7" t="s">
        <v>69</v>
      </c>
    </row>
    <row r="459" spans="1:5" x14ac:dyDescent="0.3">
      <c r="A459" s="4" t="s">
        <v>821</v>
      </c>
      <c r="B459" s="5">
        <v>43159</v>
      </c>
      <c r="C459" s="6" t="s">
        <v>822</v>
      </c>
      <c r="D459" s="6" t="s">
        <v>61</v>
      </c>
      <c r="E459" s="7" t="s">
        <v>62</v>
      </c>
    </row>
    <row r="460" spans="1:5" x14ac:dyDescent="0.3">
      <c r="A460" s="4" t="s">
        <v>823</v>
      </c>
      <c r="B460" s="5">
        <v>43383</v>
      </c>
      <c r="C460" s="6" t="s">
        <v>243</v>
      </c>
      <c r="D460" s="6" t="s">
        <v>81</v>
      </c>
      <c r="E460" s="7" t="s">
        <v>82</v>
      </c>
    </row>
    <row r="461" spans="1:5" x14ac:dyDescent="0.3">
      <c r="A461" s="4" t="s">
        <v>824</v>
      </c>
      <c r="B461" s="5">
        <v>43391</v>
      </c>
      <c r="C461" s="6" t="s">
        <v>825</v>
      </c>
      <c r="D461" s="6" t="s">
        <v>104</v>
      </c>
      <c r="E461" s="7" t="s">
        <v>105</v>
      </c>
    </row>
    <row r="462" spans="1:5" x14ac:dyDescent="0.3">
      <c r="A462" s="4" t="s">
        <v>826</v>
      </c>
      <c r="B462" s="5">
        <v>43180</v>
      </c>
      <c r="C462" s="6" t="s">
        <v>827</v>
      </c>
      <c r="D462" s="6" t="s">
        <v>16</v>
      </c>
      <c r="E462" s="7" t="s">
        <v>27</v>
      </c>
    </row>
    <row r="463" spans="1:5" x14ac:dyDescent="0.3">
      <c r="A463" s="4" t="s">
        <v>828</v>
      </c>
      <c r="B463" s="5">
        <v>43358</v>
      </c>
      <c r="C463" s="6" t="s">
        <v>359</v>
      </c>
      <c r="D463" s="6" t="s">
        <v>20</v>
      </c>
      <c r="E463" s="7" t="s">
        <v>21</v>
      </c>
    </row>
    <row r="464" spans="1:5" x14ac:dyDescent="0.3">
      <c r="A464" s="4" t="s">
        <v>829</v>
      </c>
      <c r="B464" s="5">
        <v>43163</v>
      </c>
      <c r="C464" s="6" t="s">
        <v>329</v>
      </c>
      <c r="D464" s="6" t="s">
        <v>16</v>
      </c>
      <c r="E464" s="7" t="s">
        <v>17</v>
      </c>
    </row>
    <row r="465" spans="1:5" x14ac:dyDescent="0.3">
      <c r="A465" s="4" t="s">
        <v>830</v>
      </c>
      <c r="B465" s="5">
        <v>43266</v>
      </c>
      <c r="C465" s="6" t="s">
        <v>831</v>
      </c>
      <c r="D465" s="6" t="s">
        <v>20</v>
      </c>
      <c r="E465" s="7" t="s">
        <v>21</v>
      </c>
    </row>
    <row r="466" spans="1:5" x14ac:dyDescent="0.3">
      <c r="A466" s="4" t="s">
        <v>832</v>
      </c>
      <c r="B466" s="5">
        <v>43282</v>
      </c>
      <c r="C466" s="6" t="s">
        <v>833</v>
      </c>
      <c r="D466" s="6" t="s">
        <v>193</v>
      </c>
      <c r="E466" s="7" t="s">
        <v>193</v>
      </c>
    </row>
    <row r="467" spans="1:5" x14ac:dyDescent="0.3">
      <c r="A467" s="4" t="s">
        <v>834</v>
      </c>
      <c r="B467" s="5">
        <v>43312</v>
      </c>
      <c r="C467" s="6" t="s">
        <v>835</v>
      </c>
      <c r="D467" s="6" t="s">
        <v>16</v>
      </c>
      <c r="E467" s="7" t="s">
        <v>17</v>
      </c>
    </row>
    <row r="468" spans="1:5" x14ac:dyDescent="0.3">
      <c r="A468" s="4" t="s">
        <v>836</v>
      </c>
      <c r="B468" s="5">
        <v>43296</v>
      </c>
      <c r="C468" s="6" t="s">
        <v>837</v>
      </c>
      <c r="D468" s="6" t="s">
        <v>68</v>
      </c>
      <c r="E468" s="7" t="s">
        <v>69</v>
      </c>
    </row>
    <row r="469" spans="1:5" x14ac:dyDescent="0.3">
      <c r="A469" s="4" t="s">
        <v>838</v>
      </c>
      <c r="B469" s="5">
        <v>43445</v>
      </c>
      <c r="C469" s="6" t="s">
        <v>839</v>
      </c>
      <c r="D469" s="6" t="s">
        <v>20</v>
      </c>
      <c r="E469" s="7" t="s">
        <v>72</v>
      </c>
    </row>
    <row r="470" spans="1:5" x14ac:dyDescent="0.3">
      <c r="A470" s="4" t="s">
        <v>840</v>
      </c>
      <c r="B470" s="5">
        <v>43293</v>
      </c>
      <c r="C470" s="6" t="s">
        <v>647</v>
      </c>
      <c r="D470" s="6" t="s">
        <v>20</v>
      </c>
      <c r="E470" s="7" t="s">
        <v>21</v>
      </c>
    </row>
    <row r="471" spans="1:5" x14ac:dyDescent="0.3">
      <c r="A471" s="4" t="s">
        <v>841</v>
      </c>
      <c r="B471" s="5">
        <v>43144</v>
      </c>
      <c r="C471" s="6" t="s">
        <v>137</v>
      </c>
      <c r="D471" s="6" t="s">
        <v>20</v>
      </c>
      <c r="E471" s="7" t="s">
        <v>72</v>
      </c>
    </row>
    <row r="472" spans="1:5" x14ac:dyDescent="0.3">
      <c r="A472" s="4" t="s">
        <v>842</v>
      </c>
      <c r="B472" s="5">
        <v>43161</v>
      </c>
      <c r="C472" s="6" t="s">
        <v>441</v>
      </c>
      <c r="D472" s="6" t="s">
        <v>193</v>
      </c>
      <c r="E472" s="7" t="s">
        <v>193</v>
      </c>
    </row>
    <row r="473" spans="1:5" x14ac:dyDescent="0.3">
      <c r="A473" s="4" t="s">
        <v>843</v>
      </c>
      <c r="B473" s="5">
        <v>43225</v>
      </c>
      <c r="C473" s="6" t="s">
        <v>844</v>
      </c>
      <c r="D473" s="6" t="s">
        <v>97</v>
      </c>
      <c r="E473" s="7" t="s">
        <v>69</v>
      </c>
    </row>
    <row r="474" spans="1:5" x14ac:dyDescent="0.3">
      <c r="A474" s="4" t="s">
        <v>845</v>
      </c>
      <c r="B474" s="5">
        <v>43234</v>
      </c>
      <c r="C474" s="6" t="s">
        <v>572</v>
      </c>
      <c r="D474" s="6" t="s">
        <v>100</v>
      </c>
      <c r="E474" s="7" t="s">
        <v>170</v>
      </c>
    </row>
    <row r="475" spans="1:5" x14ac:dyDescent="0.3">
      <c r="A475" s="4" t="s">
        <v>846</v>
      </c>
      <c r="B475" s="5">
        <v>43248</v>
      </c>
      <c r="C475" s="6" t="s">
        <v>847</v>
      </c>
      <c r="D475" s="6" t="s">
        <v>32</v>
      </c>
      <c r="E475" s="7" t="s">
        <v>33</v>
      </c>
    </row>
    <row r="476" spans="1:5" x14ac:dyDescent="0.3">
      <c r="A476" s="4" t="s">
        <v>848</v>
      </c>
      <c r="B476" s="5">
        <v>43212</v>
      </c>
      <c r="C476" s="6" t="s">
        <v>316</v>
      </c>
      <c r="D476" s="6" t="s">
        <v>104</v>
      </c>
      <c r="E476" s="7" t="s">
        <v>105</v>
      </c>
    </row>
    <row r="477" spans="1:5" x14ac:dyDescent="0.3">
      <c r="A477" s="4" t="s">
        <v>849</v>
      </c>
      <c r="B477" s="5">
        <v>43432</v>
      </c>
      <c r="C477" s="6" t="s">
        <v>850</v>
      </c>
      <c r="D477" s="6" t="s">
        <v>16</v>
      </c>
      <c r="E477" s="7" t="s">
        <v>17</v>
      </c>
    </row>
    <row r="478" spans="1:5" x14ac:dyDescent="0.3">
      <c r="A478" s="4" t="s">
        <v>851</v>
      </c>
      <c r="B478" s="5">
        <v>43217</v>
      </c>
      <c r="C478" s="6" t="s">
        <v>139</v>
      </c>
      <c r="D478" s="6" t="s">
        <v>140</v>
      </c>
      <c r="E478" s="7" t="s">
        <v>141</v>
      </c>
    </row>
    <row r="479" spans="1:5" x14ac:dyDescent="0.3">
      <c r="A479" s="4" t="s">
        <v>852</v>
      </c>
      <c r="B479" s="5">
        <v>43405</v>
      </c>
      <c r="C479" s="6" t="s">
        <v>853</v>
      </c>
      <c r="D479" s="6" t="s">
        <v>16</v>
      </c>
      <c r="E479" s="7" t="s">
        <v>17</v>
      </c>
    </row>
    <row r="480" spans="1:5" x14ac:dyDescent="0.3">
      <c r="A480" s="4" t="s">
        <v>854</v>
      </c>
      <c r="B480" s="5">
        <v>43127</v>
      </c>
      <c r="C480" s="6" t="s">
        <v>229</v>
      </c>
      <c r="D480" s="6" t="s">
        <v>100</v>
      </c>
      <c r="E480" s="7" t="s">
        <v>101</v>
      </c>
    </row>
    <row r="481" spans="1:5" x14ac:dyDescent="0.3">
      <c r="A481" s="4" t="s">
        <v>855</v>
      </c>
      <c r="B481" s="5">
        <v>43144</v>
      </c>
      <c r="C481" s="6" t="s">
        <v>827</v>
      </c>
      <c r="D481" s="6" t="s">
        <v>16</v>
      </c>
      <c r="E481" s="7" t="s">
        <v>27</v>
      </c>
    </row>
    <row r="482" spans="1:5" x14ac:dyDescent="0.3">
      <c r="A482" s="4" t="s">
        <v>856</v>
      </c>
      <c r="B482" s="5">
        <v>43151</v>
      </c>
      <c r="C482" s="6" t="s">
        <v>461</v>
      </c>
      <c r="D482" s="6" t="s">
        <v>40</v>
      </c>
      <c r="E482" s="7" t="s">
        <v>54</v>
      </c>
    </row>
    <row r="483" spans="1:5" x14ac:dyDescent="0.3">
      <c r="A483" s="4" t="s">
        <v>857</v>
      </c>
      <c r="B483" s="5">
        <v>43178</v>
      </c>
      <c r="C483" s="6" t="s">
        <v>542</v>
      </c>
      <c r="D483" s="6" t="s">
        <v>156</v>
      </c>
      <c r="E483" s="7" t="s">
        <v>157</v>
      </c>
    </row>
    <row r="484" spans="1:5" x14ac:dyDescent="0.3">
      <c r="A484" s="4" t="s">
        <v>858</v>
      </c>
      <c r="B484" s="5">
        <v>43221</v>
      </c>
      <c r="C484" s="6" t="s">
        <v>428</v>
      </c>
      <c r="D484" s="6" t="s">
        <v>57</v>
      </c>
      <c r="E484" s="7" t="s">
        <v>58</v>
      </c>
    </row>
    <row r="485" spans="1:5" x14ac:dyDescent="0.3">
      <c r="A485" s="4" t="s">
        <v>859</v>
      </c>
      <c r="B485" s="5">
        <v>43253</v>
      </c>
      <c r="C485" s="6" t="s">
        <v>540</v>
      </c>
      <c r="D485" s="6" t="s">
        <v>140</v>
      </c>
      <c r="E485" s="7" t="s">
        <v>141</v>
      </c>
    </row>
    <row r="486" spans="1:5" x14ac:dyDescent="0.3">
      <c r="A486" s="4" t="s">
        <v>860</v>
      </c>
      <c r="B486" s="5">
        <v>43335</v>
      </c>
      <c r="C486" s="6" t="s">
        <v>384</v>
      </c>
      <c r="D486" s="6" t="s">
        <v>304</v>
      </c>
      <c r="E486" s="7" t="s">
        <v>305</v>
      </c>
    </row>
    <row r="487" spans="1:5" x14ac:dyDescent="0.3">
      <c r="A487" s="4" t="s">
        <v>861</v>
      </c>
      <c r="B487" s="5">
        <v>43171</v>
      </c>
      <c r="C487" s="6" t="s">
        <v>844</v>
      </c>
      <c r="D487" s="6" t="s">
        <v>97</v>
      </c>
      <c r="E487" s="7" t="s">
        <v>69</v>
      </c>
    </row>
    <row r="488" spans="1:5" x14ac:dyDescent="0.3">
      <c r="A488" s="4" t="s">
        <v>862</v>
      </c>
      <c r="B488" s="5">
        <v>43215</v>
      </c>
      <c r="C488" s="6" t="s">
        <v>822</v>
      </c>
      <c r="D488" s="6" t="s">
        <v>61</v>
      </c>
      <c r="E488" s="7" t="s">
        <v>62</v>
      </c>
    </row>
    <row r="489" spans="1:5" x14ac:dyDescent="0.3">
      <c r="A489" s="4" t="s">
        <v>863</v>
      </c>
      <c r="B489" s="5">
        <v>43181</v>
      </c>
      <c r="C489" s="6" t="s">
        <v>425</v>
      </c>
      <c r="D489" s="6" t="s">
        <v>104</v>
      </c>
      <c r="E489" s="7" t="s">
        <v>105</v>
      </c>
    </row>
    <row r="490" spans="1:5" x14ac:dyDescent="0.3">
      <c r="A490" s="4" t="s">
        <v>864</v>
      </c>
      <c r="B490" s="5">
        <v>43248</v>
      </c>
      <c r="C490" s="6" t="s">
        <v>182</v>
      </c>
      <c r="D490" s="6" t="s">
        <v>16</v>
      </c>
      <c r="E490" s="7" t="s">
        <v>27</v>
      </c>
    </row>
    <row r="491" spans="1:5" x14ac:dyDescent="0.3">
      <c r="A491" s="4" t="s">
        <v>865</v>
      </c>
      <c r="B491" s="5">
        <v>43121</v>
      </c>
      <c r="C491" s="6" t="s">
        <v>866</v>
      </c>
      <c r="D491" s="6" t="s">
        <v>140</v>
      </c>
      <c r="E491" s="7" t="s">
        <v>141</v>
      </c>
    </row>
    <row r="492" spans="1:5" x14ac:dyDescent="0.3">
      <c r="A492" s="4" t="s">
        <v>867</v>
      </c>
      <c r="B492" s="5">
        <v>43308</v>
      </c>
      <c r="C492" s="6" t="s">
        <v>868</v>
      </c>
      <c r="D492" s="6" t="s">
        <v>104</v>
      </c>
      <c r="E492" s="7" t="s">
        <v>105</v>
      </c>
    </row>
    <row r="493" spans="1:5" x14ac:dyDescent="0.3">
      <c r="A493" s="4" t="s">
        <v>869</v>
      </c>
      <c r="B493" s="5">
        <v>43402</v>
      </c>
      <c r="C493" s="6" t="s">
        <v>870</v>
      </c>
      <c r="D493" s="6" t="s">
        <v>32</v>
      </c>
      <c r="E493" s="7" t="s">
        <v>33</v>
      </c>
    </row>
    <row r="494" spans="1:5" x14ac:dyDescent="0.3">
      <c r="A494" s="4" t="s">
        <v>871</v>
      </c>
      <c r="B494" s="5">
        <v>43358</v>
      </c>
      <c r="C494" s="6" t="s">
        <v>872</v>
      </c>
      <c r="D494" s="6" t="s">
        <v>100</v>
      </c>
      <c r="E494" s="7" t="s">
        <v>170</v>
      </c>
    </row>
    <row r="495" spans="1:5" x14ac:dyDescent="0.3">
      <c r="A495" s="4" t="s">
        <v>873</v>
      </c>
      <c r="B495" s="5">
        <v>43129</v>
      </c>
      <c r="C495" s="6" t="s">
        <v>874</v>
      </c>
      <c r="D495" s="6" t="s">
        <v>11</v>
      </c>
      <c r="E495" s="7" t="s">
        <v>11</v>
      </c>
    </row>
    <row r="496" spans="1:5" x14ac:dyDescent="0.3">
      <c r="A496" s="4" t="s">
        <v>875</v>
      </c>
      <c r="B496" s="5">
        <v>43364</v>
      </c>
      <c r="C496" s="6" t="s">
        <v>876</v>
      </c>
      <c r="D496" s="6" t="s">
        <v>130</v>
      </c>
      <c r="E496" s="7" t="s">
        <v>131</v>
      </c>
    </row>
    <row r="497" spans="1:5" x14ac:dyDescent="0.3">
      <c r="A497" s="4" t="s">
        <v>877</v>
      </c>
      <c r="B497" s="5">
        <v>43315</v>
      </c>
      <c r="C497" s="6" t="s">
        <v>878</v>
      </c>
      <c r="D497" s="6" t="s">
        <v>193</v>
      </c>
      <c r="E497" s="7" t="s">
        <v>193</v>
      </c>
    </row>
    <row r="498" spans="1:5" x14ac:dyDescent="0.3">
      <c r="A498" s="4" t="s">
        <v>879</v>
      </c>
      <c r="B498" s="5">
        <v>43185</v>
      </c>
      <c r="C498" s="6" t="s">
        <v>617</v>
      </c>
      <c r="D498" s="6" t="s">
        <v>304</v>
      </c>
      <c r="E498" s="7" t="s">
        <v>305</v>
      </c>
    </row>
    <row r="499" spans="1:5" x14ac:dyDescent="0.3">
      <c r="A499" s="4" t="s">
        <v>880</v>
      </c>
      <c r="B499" s="5">
        <v>43282</v>
      </c>
      <c r="C499" s="6" t="s">
        <v>683</v>
      </c>
      <c r="D499" s="6" t="s">
        <v>16</v>
      </c>
      <c r="E499" s="7" t="s">
        <v>17</v>
      </c>
    </row>
    <row r="500" spans="1:5" x14ac:dyDescent="0.3">
      <c r="A500" s="4" t="s">
        <v>881</v>
      </c>
      <c r="B500" s="5">
        <v>43334</v>
      </c>
      <c r="C500" s="6" t="s">
        <v>314</v>
      </c>
      <c r="D500" s="6" t="s">
        <v>61</v>
      </c>
      <c r="E500" s="7" t="s">
        <v>62</v>
      </c>
    </row>
    <row r="501" spans="1:5" x14ac:dyDescent="0.3">
      <c r="A501" s="8" t="s">
        <v>882</v>
      </c>
      <c r="B501" s="9">
        <v>43187</v>
      </c>
      <c r="C501" s="10" t="s">
        <v>374</v>
      </c>
      <c r="D501" s="10" t="s">
        <v>100</v>
      </c>
      <c r="E501" s="11" t="s">
        <v>170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200D66-17E4-46E3-8270-0F369583F918}">
  <dimension ref="A1:Q456"/>
  <sheetViews>
    <sheetView topLeftCell="A28" zoomScale="65" workbookViewId="0">
      <selection activeCell="M38" sqref="M38"/>
    </sheetView>
  </sheetViews>
  <sheetFormatPr defaultRowHeight="14.4" x14ac:dyDescent="0.3"/>
  <cols>
    <col min="1" max="1" width="14.109375" bestFit="1" customWidth="1"/>
    <col min="2" max="2" width="13.109375" bestFit="1" customWidth="1"/>
    <col min="3" max="3" width="20.109375" bestFit="1" customWidth="1"/>
    <col min="12" max="12" width="14.77734375" bestFit="1" customWidth="1"/>
    <col min="13" max="13" width="14.109375" bestFit="1" customWidth="1"/>
    <col min="14" max="14" width="15.88671875" bestFit="1" customWidth="1"/>
    <col min="42" max="42" width="16.21875" bestFit="1" customWidth="1"/>
    <col min="43" max="43" width="21.33203125" bestFit="1" customWidth="1"/>
  </cols>
  <sheetData>
    <row r="1" spans="1:17" x14ac:dyDescent="0.3">
      <c r="N1" s="15" t="s">
        <v>883</v>
      </c>
      <c r="O1" s="15"/>
      <c r="P1" s="15"/>
      <c r="Q1" s="15"/>
    </row>
    <row r="2" spans="1:17" x14ac:dyDescent="0.3">
      <c r="A2" s="14" t="s">
        <v>884</v>
      </c>
      <c r="B2" s="14"/>
      <c r="L2" s="13" t="s">
        <v>885</v>
      </c>
      <c r="M2" t="s">
        <v>886</v>
      </c>
    </row>
    <row r="3" spans="1:17" x14ac:dyDescent="0.3">
      <c r="A3" s="13" t="s">
        <v>885</v>
      </c>
      <c r="B3" t="s">
        <v>886</v>
      </c>
      <c r="L3" s="12" t="s">
        <v>54</v>
      </c>
      <c r="M3" s="16">
        <v>17</v>
      </c>
      <c r="N3" t="str">
        <f>VLOOKUP($L3,$L$3:$M$5,1,0)</f>
        <v>Ahmedabad</v>
      </c>
      <c r="O3">
        <f>VLOOKUP($N3,$L$3:$M$5,2,0)</f>
        <v>17</v>
      </c>
    </row>
    <row r="4" spans="1:17" x14ac:dyDescent="0.3">
      <c r="A4" s="12" t="s">
        <v>54</v>
      </c>
      <c r="B4" s="16">
        <v>17</v>
      </c>
      <c r="L4" s="12" t="s">
        <v>175</v>
      </c>
      <c r="M4" s="16">
        <v>9</v>
      </c>
      <c r="N4" t="str">
        <f t="shared" ref="N4:N7" si="0">VLOOKUP($L4,$L$3:$M$5,1,0)</f>
        <v>Amritsar</v>
      </c>
      <c r="O4">
        <f t="shared" ref="O4:O6" si="1">VLOOKUP($N4,$L$3:$M$5,2,0)</f>
        <v>9</v>
      </c>
    </row>
    <row r="5" spans="1:17" x14ac:dyDescent="0.3">
      <c r="A5" s="12" t="s">
        <v>175</v>
      </c>
      <c r="B5" s="16">
        <v>9</v>
      </c>
      <c r="L5" s="12" t="s">
        <v>105</v>
      </c>
      <c r="M5" s="16">
        <v>20</v>
      </c>
      <c r="N5" t="str">
        <f t="shared" si="0"/>
        <v>Bangalore</v>
      </c>
      <c r="O5">
        <f t="shared" si="1"/>
        <v>20</v>
      </c>
    </row>
    <row r="6" spans="1:17" x14ac:dyDescent="0.3">
      <c r="A6" s="12" t="s">
        <v>105</v>
      </c>
      <c r="B6" s="16">
        <v>20</v>
      </c>
      <c r="L6" s="12" t="s">
        <v>72</v>
      </c>
      <c r="M6" s="16">
        <v>22</v>
      </c>
    </row>
    <row r="7" spans="1:17" x14ac:dyDescent="0.3">
      <c r="A7" s="12" t="s">
        <v>72</v>
      </c>
      <c r="B7" s="16">
        <v>22</v>
      </c>
      <c r="L7" s="12" t="s">
        <v>69</v>
      </c>
      <c r="M7" s="16">
        <v>30</v>
      </c>
      <c r="O7">
        <f>GETPIVOTDATA("Order ID",$L$2)</f>
        <v>500</v>
      </c>
    </row>
    <row r="8" spans="1:17" x14ac:dyDescent="0.3">
      <c r="A8" s="12" t="s">
        <v>69</v>
      </c>
      <c r="B8" s="16">
        <v>30</v>
      </c>
      <c r="L8" s="12" t="s">
        <v>131</v>
      </c>
      <c r="M8" s="16">
        <v>8</v>
      </c>
    </row>
    <row r="9" spans="1:17" x14ac:dyDescent="0.3">
      <c r="A9" s="12" t="s">
        <v>131</v>
      </c>
      <c r="B9" s="16">
        <v>8</v>
      </c>
      <c r="L9" s="12" t="s">
        <v>11</v>
      </c>
      <c r="M9" s="16">
        <v>24</v>
      </c>
    </row>
    <row r="10" spans="1:17" x14ac:dyDescent="0.3">
      <c r="A10" s="12" t="s">
        <v>11</v>
      </c>
      <c r="B10" s="16">
        <v>24</v>
      </c>
      <c r="L10" s="12" t="s">
        <v>305</v>
      </c>
      <c r="M10" s="16">
        <v>12</v>
      </c>
    </row>
    <row r="11" spans="1:17" x14ac:dyDescent="0.3">
      <c r="A11" s="12" t="s">
        <v>305</v>
      </c>
      <c r="B11" s="16">
        <v>12</v>
      </c>
      <c r="L11" s="12" t="s">
        <v>193</v>
      </c>
      <c r="M11" s="16">
        <v>14</v>
      </c>
    </row>
    <row r="12" spans="1:17" x14ac:dyDescent="0.3">
      <c r="A12" s="12" t="s">
        <v>193</v>
      </c>
      <c r="B12" s="16">
        <v>14</v>
      </c>
      <c r="L12" s="12" t="s">
        <v>33</v>
      </c>
      <c r="M12" s="16">
        <v>15</v>
      </c>
    </row>
    <row r="13" spans="1:17" x14ac:dyDescent="0.3">
      <c r="A13" s="12" t="s">
        <v>33</v>
      </c>
      <c r="B13" s="16">
        <v>15</v>
      </c>
      <c r="L13" s="12" t="s">
        <v>21</v>
      </c>
      <c r="M13" s="16">
        <v>71</v>
      </c>
    </row>
    <row r="14" spans="1:17" x14ac:dyDescent="0.3">
      <c r="A14" s="12" t="s">
        <v>21</v>
      </c>
      <c r="B14" s="16">
        <v>71</v>
      </c>
      <c r="L14" s="12" t="s">
        <v>170</v>
      </c>
      <c r="M14" s="16">
        <v>19</v>
      </c>
    </row>
    <row r="15" spans="1:17" x14ac:dyDescent="0.3">
      <c r="A15" s="12" t="s">
        <v>170</v>
      </c>
      <c r="B15" s="16">
        <v>19</v>
      </c>
      <c r="L15" s="12" t="s">
        <v>157</v>
      </c>
      <c r="M15" s="16">
        <v>14</v>
      </c>
    </row>
    <row r="16" spans="1:17" x14ac:dyDescent="0.3">
      <c r="A16" s="12" t="s">
        <v>157</v>
      </c>
      <c r="B16" s="16">
        <v>14</v>
      </c>
      <c r="L16" s="12" t="s">
        <v>82</v>
      </c>
      <c r="M16" s="16">
        <v>15</v>
      </c>
    </row>
    <row r="17" spans="1:13" x14ac:dyDescent="0.3">
      <c r="A17" s="12" t="s">
        <v>82</v>
      </c>
      <c r="B17" s="16">
        <v>15</v>
      </c>
      <c r="L17" s="12" t="s">
        <v>141</v>
      </c>
      <c r="M17" s="16">
        <v>22</v>
      </c>
    </row>
    <row r="18" spans="1:13" x14ac:dyDescent="0.3">
      <c r="A18" s="12" t="s">
        <v>141</v>
      </c>
      <c r="B18" s="16">
        <v>22</v>
      </c>
      <c r="L18" s="12" t="s">
        <v>120</v>
      </c>
      <c r="M18" s="16">
        <v>13</v>
      </c>
    </row>
    <row r="19" spans="1:13" x14ac:dyDescent="0.3">
      <c r="A19" s="12" t="s">
        <v>120</v>
      </c>
      <c r="B19" s="16">
        <v>13</v>
      </c>
      <c r="L19" s="12" t="s">
        <v>8</v>
      </c>
      <c r="M19" s="16">
        <v>6</v>
      </c>
    </row>
    <row r="20" spans="1:13" x14ac:dyDescent="0.3">
      <c r="A20" s="12" t="s">
        <v>8</v>
      </c>
      <c r="B20" s="16">
        <v>6</v>
      </c>
      <c r="L20" s="12" t="s">
        <v>17</v>
      </c>
      <c r="M20" s="16">
        <v>67</v>
      </c>
    </row>
    <row r="21" spans="1:13" x14ac:dyDescent="0.3">
      <c r="A21" s="12" t="s">
        <v>17</v>
      </c>
      <c r="B21" s="16">
        <v>67</v>
      </c>
      <c r="L21" s="12" t="s">
        <v>58</v>
      </c>
      <c r="M21" s="16">
        <v>16</v>
      </c>
    </row>
    <row r="22" spans="1:13" x14ac:dyDescent="0.3">
      <c r="A22" s="12" t="s">
        <v>58</v>
      </c>
      <c r="B22" s="16">
        <v>16</v>
      </c>
      <c r="L22" s="12" t="s">
        <v>24</v>
      </c>
      <c r="M22" s="16">
        <v>6</v>
      </c>
    </row>
    <row r="23" spans="1:13" x14ac:dyDescent="0.3">
      <c r="A23" s="12" t="s">
        <v>24</v>
      </c>
      <c r="B23" s="16">
        <v>6</v>
      </c>
      <c r="L23" s="12" t="s">
        <v>27</v>
      </c>
      <c r="M23" s="16">
        <v>27</v>
      </c>
    </row>
    <row r="24" spans="1:13" x14ac:dyDescent="0.3">
      <c r="A24" s="12" t="s">
        <v>27</v>
      </c>
      <c r="B24" s="16">
        <v>27</v>
      </c>
      <c r="L24" s="12" t="s">
        <v>62</v>
      </c>
      <c r="M24" s="16">
        <v>14</v>
      </c>
    </row>
    <row r="25" spans="1:13" x14ac:dyDescent="0.3">
      <c r="A25" s="12" t="s">
        <v>62</v>
      </c>
      <c r="B25" s="16">
        <v>14</v>
      </c>
      <c r="L25" s="12" t="s">
        <v>41</v>
      </c>
      <c r="M25" s="16">
        <v>10</v>
      </c>
    </row>
    <row r="26" spans="1:13" x14ac:dyDescent="0.3">
      <c r="A26" s="12" t="s">
        <v>41</v>
      </c>
      <c r="B26" s="16">
        <v>10</v>
      </c>
      <c r="L26" s="12" t="s">
        <v>76</v>
      </c>
      <c r="M26" s="16">
        <v>16</v>
      </c>
    </row>
    <row r="27" spans="1:13" x14ac:dyDescent="0.3">
      <c r="A27" s="12" t="s">
        <v>76</v>
      </c>
      <c r="B27" s="16">
        <v>16</v>
      </c>
      <c r="L27" s="12" t="s">
        <v>101</v>
      </c>
      <c r="M27" s="16">
        <v>13</v>
      </c>
    </row>
    <row r="28" spans="1:13" x14ac:dyDescent="0.3">
      <c r="A28" s="12" t="s">
        <v>101</v>
      </c>
      <c r="B28" s="16">
        <v>13</v>
      </c>
      <c r="L28" s="12" t="s">
        <v>887</v>
      </c>
      <c r="M28" s="16">
        <v>500</v>
      </c>
    </row>
    <row r="29" spans="1:13" x14ac:dyDescent="0.3">
      <c r="A29" s="12" t="s">
        <v>887</v>
      </c>
      <c r="B29" s="16">
        <v>500</v>
      </c>
    </row>
    <row r="31" spans="1:13" x14ac:dyDescent="0.3">
      <c r="C31">
        <f>COUNTA(A4:A28)</f>
        <v>25</v>
      </c>
    </row>
    <row r="36" spans="1:17" x14ac:dyDescent="0.3">
      <c r="L36" s="13" t="s">
        <v>885</v>
      </c>
      <c r="M36" t="s">
        <v>886</v>
      </c>
      <c r="N36" s="15" t="s">
        <v>888</v>
      </c>
      <c r="O36" s="15"/>
      <c r="P36" s="15"/>
      <c r="Q36" s="15"/>
    </row>
    <row r="37" spans="1:17" x14ac:dyDescent="0.3">
      <c r="A37" s="15" t="s">
        <v>889</v>
      </c>
      <c r="B37" s="15"/>
      <c r="L37" s="12" t="s">
        <v>20</v>
      </c>
      <c r="M37" s="16">
        <v>93</v>
      </c>
    </row>
    <row r="38" spans="1:17" x14ac:dyDescent="0.3">
      <c r="A38" s="13" t="s">
        <v>885</v>
      </c>
      <c r="B38" t="s">
        <v>886</v>
      </c>
      <c r="L38" s="12" t="s">
        <v>16</v>
      </c>
      <c r="M38" s="16">
        <v>94</v>
      </c>
    </row>
    <row r="39" spans="1:17" x14ac:dyDescent="0.3">
      <c r="A39" s="12" t="s">
        <v>32</v>
      </c>
      <c r="B39" s="16">
        <v>15</v>
      </c>
      <c r="L39" s="12" t="s">
        <v>100</v>
      </c>
      <c r="M39" s="16">
        <v>32</v>
      </c>
    </row>
    <row r="40" spans="1:17" x14ac:dyDescent="0.3">
      <c r="A40" s="12" t="s">
        <v>57</v>
      </c>
      <c r="B40" s="16">
        <v>16</v>
      </c>
      <c r="L40" s="12" t="s">
        <v>887</v>
      </c>
      <c r="M40" s="16">
        <v>219</v>
      </c>
    </row>
    <row r="41" spans="1:17" x14ac:dyDescent="0.3">
      <c r="A41" s="12" t="s">
        <v>11</v>
      </c>
      <c r="B41" s="16">
        <v>24</v>
      </c>
    </row>
    <row r="42" spans="1:17" x14ac:dyDescent="0.3">
      <c r="A42" s="12" t="s">
        <v>193</v>
      </c>
      <c r="B42" s="16">
        <v>14</v>
      </c>
    </row>
    <row r="43" spans="1:17" x14ac:dyDescent="0.3">
      <c r="A43" s="12" t="s">
        <v>40</v>
      </c>
      <c r="B43" s="16">
        <v>27</v>
      </c>
    </row>
    <row r="44" spans="1:17" x14ac:dyDescent="0.3">
      <c r="A44" s="12" t="s">
        <v>97</v>
      </c>
      <c r="B44" s="16">
        <v>14</v>
      </c>
    </row>
    <row r="45" spans="1:17" x14ac:dyDescent="0.3">
      <c r="A45" s="12" t="s">
        <v>61</v>
      </c>
      <c r="B45" s="16">
        <v>14</v>
      </c>
    </row>
    <row r="46" spans="1:17" x14ac:dyDescent="0.3">
      <c r="A46" s="12" t="s">
        <v>156</v>
      </c>
      <c r="B46" s="16">
        <v>14</v>
      </c>
    </row>
    <row r="47" spans="1:17" x14ac:dyDescent="0.3">
      <c r="A47" s="12" t="s">
        <v>104</v>
      </c>
      <c r="B47" s="16">
        <v>20</v>
      </c>
    </row>
    <row r="48" spans="1:17" x14ac:dyDescent="0.3">
      <c r="A48" s="12" t="s">
        <v>75</v>
      </c>
      <c r="B48" s="16">
        <v>16</v>
      </c>
    </row>
    <row r="49" spans="1:2" x14ac:dyDescent="0.3">
      <c r="A49" s="12" t="s">
        <v>20</v>
      </c>
      <c r="B49" s="16">
        <v>93</v>
      </c>
    </row>
    <row r="50" spans="1:2" x14ac:dyDescent="0.3">
      <c r="A50" s="12" t="s">
        <v>16</v>
      </c>
      <c r="B50" s="16">
        <v>94</v>
      </c>
    </row>
    <row r="51" spans="1:2" x14ac:dyDescent="0.3">
      <c r="A51" s="12" t="s">
        <v>81</v>
      </c>
      <c r="B51" s="16">
        <v>15</v>
      </c>
    </row>
    <row r="52" spans="1:2" x14ac:dyDescent="0.3">
      <c r="A52" s="12" t="s">
        <v>68</v>
      </c>
      <c r="B52" s="16">
        <v>25</v>
      </c>
    </row>
    <row r="53" spans="1:2" x14ac:dyDescent="0.3">
      <c r="A53" s="12" t="s">
        <v>100</v>
      </c>
      <c r="B53" s="16">
        <v>32</v>
      </c>
    </row>
    <row r="54" spans="1:2" x14ac:dyDescent="0.3">
      <c r="A54" s="12" t="s">
        <v>304</v>
      </c>
      <c r="B54" s="16">
        <v>12</v>
      </c>
    </row>
    <row r="55" spans="1:2" x14ac:dyDescent="0.3">
      <c r="A55" s="12" t="s">
        <v>130</v>
      </c>
      <c r="B55" s="16">
        <v>8</v>
      </c>
    </row>
    <row r="56" spans="1:2" x14ac:dyDescent="0.3">
      <c r="A56" s="12" t="s">
        <v>7</v>
      </c>
      <c r="B56" s="16">
        <v>25</v>
      </c>
    </row>
    <row r="57" spans="1:2" x14ac:dyDescent="0.3">
      <c r="A57" s="12" t="s">
        <v>140</v>
      </c>
      <c r="B57" s="16">
        <v>22</v>
      </c>
    </row>
    <row r="58" spans="1:2" x14ac:dyDescent="0.3">
      <c r="A58" s="12" t="s">
        <v>887</v>
      </c>
      <c r="B58" s="16">
        <v>500</v>
      </c>
    </row>
    <row r="66" spans="1:17" x14ac:dyDescent="0.3">
      <c r="M66" s="13" t="s">
        <v>885</v>
      </c>
      <c r="N66" t="s">
        <v>886</v>
      </c>
      <c r="O66" s="14" t="s">
        <v>890</v>
      </c>
      <c r="P66" s="14"/>
      <c r="Q66" s="14"/>
    </row>
    <row r="67" spans="1:17" x14ac:dyDescent="0.3">
      <c r="A67" s="15" t="s">
        <v>891</v>
      </c>
      <c r="B67" s="15"/>
      <c r="M67" s="12" t="s">
        <v>892</v>
      </c>
      <c r="N67" s="16">
        <v>61</v>
      </c>
    </row>
    <row r="68" spans="1:17" x14ac:dyDescent="0.3">
      <c r="A68" s="13" t="s">
        <v>885</v>
      </c>
      <c r="B68" t="s">
        <v>886</v>
      </c>
      <c r="M68" s="12" t="s">
        <v>893</v>
      </c>
      <c r="N68" s="16">
        <v>54</v>
      </c>
    </row>
    <row r="69" spans="1:17" x14ac:dyDescent="0.3">
      <c r="A69" s="12" t="s">
        <v>892</v>
      </c>
      <c r="B69" s="16">
        <v>61</v>
      </c>
      <c r="M69" s="12" t="s">
        <v>894</v>
      </c>
      <c r="N69" s="16">
        <v>58</v>
      </c>
    </row>
    <row r="70" spans="1:17" x14ac:dyDescent="0.3">
      <c r="A70" s="12" t="s">
        <v>893</v>
      </c>
      <c r="B70" s="16">
        <v>54</v>
      </c>
      <c r="M70" s="12" t="s">
        <v>887</v>
      </c>
      <c r="N70" s="16">
        <v>173</v>
      </c>
    </row>
    <row r="71" spans="1:17" x14ac:dyDescent="0.3">
      <c r="A71" s="12" t="s">
        <v>894</v>
      </c>
      <c r="B71" s="16">
        <v>58</v>
      </c>
    </row>
    <row r="72" spans="1:17" x14ac:dyDescent="0.3">
      <c r="A72" s="12" t="s">
        <v>895</v>
      </c>
      <c r="B72" s="16">
        <v>44</v>
      </c>
    </row>
    <row r="73" spans="1:17" x14ac:dyDescent="0.3">
      <c r="A73" s="12" t="s">
        <v>896</v>
      </c>
      <c r="B73" s="16">
        <v>31</v>
      </c>
    </row>
    <row r="74" spans="1:17" x14ac:dyDescent="0.3">
      <c r="A74" s="12" t="s">
        <v>897</v>
      </c>
      <c r="B74" s="16">
        <v>30</v>
      </c>
    </row>
    <row r="75" spans="1:17" x14ac:dyDescent="0.3">
      <c r="A75" s="12" t="s">
        <v>898</v>
      </c>
      <c r="B75" s="16">
        <v>31</v>
      </c>
    </row>
    <row r="76" spans="1:17" x14ac:dyDescent="0.3">
      <c r="A76" s="12" t="s">
        <v>899</v>
      </c>
      <c r="B76" s="16">
        <v>31</v>
      </c>
    </row>
    <row r="77" spans="1:17" x14ac:dyDescent="0.3">
      <c r="A77" s="12" t="s">
        <v>900</v>
      </c>
      <c r="B77" s="16">
        <v>30</v>
      </c>
    </row>
    <row r="78" spans="1:17" x14ac:dyDescent="0.3">
      <c r="A78" s="12" t="s">
        <v>901</v>
      </c>
      <c r="B78" s="16">
        <v>43</v>
      </c>
    </row>
    <row r="79" spans="1:17" x14ac:dyDescent="0.3">
      <c r="A79" s="12" t="s">
        <v>902</v>
      </c>
      <c r="B79" s="16">
        <v>46</v>
      </c>
    </row>
    <row r="80" spans="1:17" x14ac:dyDescent="0.3">
      <c r="A80" s="12" t="s">
        <v>903</v>
      </c>
      <c r="B80" s="16">
        <v>41</v>
      </c>
    </row>
    <row r="81" spans="1:17" x14ac:dyDescent="0.3">
      <c r="A81" s="12" t="s">
        <v>887</v>
      </c>
      <c r="B81" s="16">
        <v>500</v>
      </c>
      <c r="C81">
        <f>GETPIVOTDATA("Order ID",$A$68)</f>
        <v>500</v>
      </c>
    </row>
    <row r="87" spans="1:17" x14ac:dyDescent="0.3">
      <c r="A87" s="13" t="s">
        <v>885</v>
      </c>
      <c r="B87" t="s">
        <v>904</v>
      </c>
      <c r="M87" s="13" t="s">
        <v>885</v>
      </c>
      <c r="N87" t="s">
        <v>886</v>
      </c>
      <c r="O87" s="14" t="s">
        <v>906</v>
      </c>
      <c r="P87" s="14"/>
      <c r="Q87" s="14"/>
    </row>
    <row r="88" spans="1:17" x14ac:dyDescent="0.3">
      <c r="A88" s="12" t="s">
        <v>32</v>
      </c>
      <c r="B88" s="16">
        <v>15</v>
      </c>
      <c r="C88" t="str">
        <f>VLOOKUP(A88,$A$88:$B$106,1,0)</f>
        <v>Andhra Pradesh</v>
      </c>
      <c r="D88">
        <f>VLOOKUP(A88,$A$88:$B$106,2,0)</f>
        <v>15</v>
      </c>
      <c r="M88" s="12" t="s">
        <v>816</v>
      </c>
      <c r="N88" s="16">
        <v>1</v>
      </c>
    </row>
    <row r="89" spans="1:17" x14ac:dyDescent="0.3">
      <c r="A89" s="12" t="s">
        <v>57</v>
      </c>
      <c r="B89" s="16">
        <v>16</v>
      </c>
      <c r="C89" t="str">
        <f t="shared" ref="C89:C107" si="2">VLOOKUP(A89,$A$88:$B$106,1,0)</f>
        <v>Bihar</v>
      </c>
      <c r="D89">
        <f t="shared" ref="D89:D107" si="3">VLOOKUP(A89,$A$88:$B$106,2,0)</f>
        <v>16</v>
      </c>
      <c r="M89" s="12" t="s">
        <v>129</v>
      </c>
      <c r="N89" s="16">
        <v>3</v>
      </c>
    </row>
    <row r="90" spans="1:17" x14ac:dyDescent="0.3">
      <c r="A90" s="12" t="s">
        <v>11</v>
      </c>
      <c r="B90" s="16">
        <v>24</v>
      </c>
      <c r="C90" t="str">
        <f t="shared" si="2"/>
        <v>Delhi</v>
      </c>
      <c r="D90">
        <f t="shared" si="3"/>
        <v>24</v>
      </c>
      <c r="M90" s="12" t="s">
        <v>60</v>
      </c>
      <c r="N90" s="16">
        <v>1</v>
      </c>
    </row>
    <row r="91" spans="1:17" x14ac:dyDescent="0.3">
      <c r="A91" s="12" t="s">
        <v>193</v>
      </c>
      <c r="B91" s="16">
        <v>14</v>
      </c>
      <c r="C91" t="str">
        <f t="shared" si="2"/>
        <v>Goa</v>
      </c>
      <c r="D91">
        <f t="shared" si="3"/>
        <v>14</v>
      </c>
      <c r="M91" s="12" t="s">
        <v>547</v>
      </c>
      <c r="N91" s="16">
        <v>1</v>
      </c>
    </row>
    <row r="92" spans="1:17" x14ac:dyDescent="0.3">
      <c r="A92" s="12" t="s">
        <v>40</v>
      </c>
      <c r="B92" s="16">
        <v>27</v>
      </c>
      <c r="C92" t="str">
        <f t="shared" si="2"/>
        <v>Gujarat</v>
      </c>
      <c r="D92">
        <f t="shared" si="3"/>
        <v>27</v>
      </c>
      <c r="M92" s="12" t="s">
        <v>475</v>
      </c>
      <c r="N92" s="16">
        <v>3</v>
      </c>
    </row>
    <row r="93" spans="1:17" x14ac:dyDescent="0.3">
      <c r="A93" s="12" t="s">
        <v>97</v>
      </c>
      <c r="B93" s="16">
        <v>14</v>
      </c>
      <c r="C93" t="str">
        <f t="shared" si="2"/>
        <v>Haryana</v>
      </c>
      <c r="D93">
        <f t="shared" si="3"/>
        <v>14</v>
      </c>
      <c r="M93" s="12" t="s">
        <v>145</v>
      </c>
      <c r="N93" s="16">
        <v>2</v>
      </c>
    </row>
    <row r="94" spans="1:17" x14ac:dyDescent="0.3">
      <c r="A94" s="12" t="s">
        <v>61</v>
      </c>
      <c r="B94" s="16">
        <v>14</v>
      </c>
      <c r="C94" t="str">
        <f t="shared" si="2"/>
        <v>Himachal Pradesh</v>
      </c>
      <c r="D94">
        <f t="shared" si="3"/>
        <v>14</v>
      </c>
      <c r="M94" s="12" t="s">
        <v>750</v>
      </c>
      <c r="N94" s="16">
        <v>1</v>
      </c>
    </row>
    <row r="95" spans="1:17" x14ac:dyDescent="0.3">
      <c r="A95" s="12" t="s">
        <v>156</v>
      </c>
      <c r="B95" s="16">
        <v>14</v>
      </c>
      <c r="C95" t="str">
        <f t="shared" si="2"/>
        <v>Jammu and Kashmir</v>
      </c>
      <c r="D95">
        <f t="shared" si="3"/>
        <v>14</v>
      </c>
      <c r="M95" s="12" t="s">
        <v>231</v>
      </c>
      <c r="N95" s="16">
        <v>4</v>
      </c>
    </row>
    <row r="96" spans="1:17" x14ac:dyDescent="0.3">
      <c r="A96" s="12" t="s">
        <v>104</v>
      </c>
      <c r="B96" s="16">
        <v>20</v>
      </c>
      <c r="C96" t="str">
        <f t="shared" si="2"/>
        <v>Karnataka</v>
      </c>
      <c r="D96">
        <f t="shared" si="3"/>
        <v>20</v>
      </c>
      <c r="M96" s="12" t="s">
        <v>568</v>
      </c>
      <c r="N96" s="16">
        <v>1</v>
      </c>
    </row>
    <row r="97" spans="1:14" x14ac:dyDescent="0.3">
      <c r="A97" s="12" t="s">
        <v>75</v>
      </c>
      <c r="B97" s="16">
        <v>16</v>
      </c>
      <c r="C97" t="str">
        <f t="shared" si="2"/>
        <v xml:space="preserve">Kerala </v>
      </c>
      <c r="D97">
        <f t="shared" si="3"/>
        <v>16</v>
      </c>
      <c r="M97" s="12" t="s">
        <v>201</v>
      </c>
      <c r="N97" s="16">
        <v>2</v>
      </c>
    </row>
    <row r="98" spans="1:14" x14ac:dyDescent="0.3">
      <c r="A98" s="12" t="s">
        <v>20</v>
      </c>
      <c r="B98" s="16">
        <v>93</v>
      </c>
      <c r="C98" t="str">
        <f t="shared" si="2"/>
        <v>Madhya Pradesh</v>
      </c>
      <c r="D98">
        <f t="shared" si="3"/>
        <v>93</v>
      </c>
      <c r="M98" s="12" t="s">
        <v>549</v>
      </c>
      <c r="N98" s="16">
        <v>3</v>
      </c>
    </row>
    <row r="99" spans="1:14" x14ac:dyDescent="0.3">
      <c r="A99" s="12" t="s">
        <v>16</v>
      </c>
      <c r="B99" s="16">
        <v>94</v>
      </c>
      <c r="C99" t="str">
        <f t="shared" si="2"/>
        <v>Maharashtra</v>
      </c>
      <c r="D99">
        <f t="shared" si="3"/>
        <v>94</v>
      </c>
      <c r="M99" s="12" t="s">
        <v>251</v>
      </c>
      <c r="N99" s="16">
        <v>1</v>
      </c>
    </row>
    <row r="100" spans="1:14" x14ac:dyDescent="0.3">
      <c r="A100" s="12" t="s">
        <v>81</v>
      </c>
      <c r="B100" s="16">
        <v>15</v>
      </c>
      <c r="C100" t="str">
        <f t="shared" si="2"/>
        <v>Nagaland</v>
      </c>
      <c r="D100">
        <f t="shared" si="3"/>
        <v>15</v>
      </c>
      <c r="M100" s="12" t="s">
        <v>270</v>
      </c>
      <c r="N100" s="16">
        <v>3</v>
      </c>
    </row>
    <row r="101" spans="1:14" x14ac:dyDescent="0.3">
      <c r="A101" s="12" t="s">
        <v>68</v>
      </c>
      <c r="B101" s="16">
        <v>25</v>
      </c>
      <c r="C101" t="str">
        <f t="shared" si="2"/>
        <v>Punjab</v>
      </c>
      <c r="D101">
        <f t="shared" si="3"/>
        <v>25</v>
      </c>
      <c r="M101" s="12" t="s">
        <v>301</v>
      </c>
      <c r="N101" s="16">
        <v>1</v>
      </c>
    </row>
    <row r="102" spans="1:14" x14ac:dyDescent="0.3">
      <c r="A102" s="12" t="s">
        <v>100</v>
      </c>
      <c r="B102" s="16">
        <v>32</v>
      </c>
      <c r="C102" t="str">
        <f t="shared" si="2"/>
        <v>Rajasthan</v>
      </c>
      <c r="D102">
        <f t="shared" si="3"/>
        <v>32</v>
      </c>
      <c r="M102" s="12" t="s">
        <v>847</v>
      </c>
      <c r="N102" s="16">
        <v>1</v>
      </c>
    </row>
    <row r="103" spans="1:14" x14ac:dyDescent="0.3">
      <c r="A103" s="12" t="s">
        <v>304</v>
      </c>
      <c r="B103" s="16">
        <v>12</v>
      </c>
      <c r="C103" t="str">
        <f t="shared" si="2"/>
        <v>Sikkim</v>
      </c>
      <c r="D103">
        <f t="shared" si="3"/>
        <v>12</v>
      </c>
      <c r="M103" s="12" t="s">
        <v>660</v>
      </c>
      <c r="N103" s="16">
        <v>1</v>
      </c>
    </row>
    <row r="104" spans="1:14" x14ac:dyDescent="0.3">
      <c r="A104" s="12" t="s">
        <v>130</v>
      </c>
      <c r="B104" s="16">
        <v>8</v>
      </c>
      <c r="C104" t="str">
        <f t="shared" si="2"/>
        <v>Tamil Nadu</v>
      </c>
      <c r="D104">
        <f t="shared" si="3"/>
        <v>8</v>
      </c>
      <c r="M104" s="12" t="s">
        <v>835</v>
      </c>
      <c r="N104" s="16">
        <v>1</v>
      </c>
    </row>
    <row r="105" spans="1:14" x14ac:dyDescent="0.3">
      <c r="A105" s="12" t="s">
        <v>7</v>
      </c>
      <c r="B105" s="16">
        <v>25</v>
      </c>
      <c r="C105" t="str">
        <f t="shared" si="2"/>
        <v>Uttar Pradesh</v>
      </c>
      <c r="D105">
        <f t="shared" si="3"/>
        <v>25</v>
      </c>
      <c r="M105" s="12" t="s">
        <v>795</v>
      </c>
      <c r="N105" s="16">
        <v>1</v>
      </c>
    </row>
    <row r="106" spans="1:14" x14ac:dyDescent="0.3">
      <c r="A106" s="12" t="s">
        <v>140</v>
      </c>
      <c r="B106" s="16">
        <v>22</v>
      </c>
      <c r="C106" t="str">
        <f t="shared" si="2"/>
        <v>West Bengal</v>
      </c>
      <c r="D106">
        <f t="shared" si="3"/>
        <v>22</v>
      </c>
      <c r="M106" s="12" t="s">
        <v>489</v>
      </c>
      <c r="N106" s="16">
        <v>3</v>
      </c>
    </row>
    <row r="107" spans="1:14" x14ac:dyDescent="0.3">
      <c r="A107" s="12" t="s">
        <v>887</v>
      </c>
      <c r="B107" s="16">
        <v>500</v>
      </c>
      <c r="C107" t="e">
        <f t="shared" si="2"/>
        <v>#N/A</v>
      </c>
      <c r="D107" t="e">
        <f t="shared" si="3"/>
        <v>#N/A</v>
      </c>
      <c r="M107" s="12" t="s">
        <v>388</v>
      </c>
      <c r="N107" s="16">
        <v>2</v>
      </c>
    </row>
    <row r="108" spans="1:14" x14ac:dyDescent="0.3">
      <c r="M108" s="12" t="s">
        <v>209</v>
      </c>
      <c r="N108" s="16">
        <v>1</v>
      </c>
    </row>
    <row r="109" spans="1:14" x14ac:dyDescent="0.3">
      <c r="M109" s="12" t="s">
        <v>382</v>
      </c>
      <c r="N109" s="16">
        <v>1</v>
      </c>
    </row>
    <row r="110" spans="1:14" x14ac:dyDescent="0.3">
      <c r="M110" s="12" t="s">
        <v>303</v>
      </c>
      <c r="N110" s="16">
        <v>2</v>
      </c>
    </row>
    <row r="111" spans="1:14" x14ac:dyDescent="0.3">
      <c r="M111" s="12" t="s">
        <v>414</v>
      </c>
      <c r="N111" s="16">
        <v>1</v>
      </c>
    </row>
    <row r="112" spans="1:14" x14ac:dyDescent="0.3">
      <c r="B112">
        <f>COUNTA(A88:A106)</f>
        <v>19</v>
      </c>
      <c r="M112" s="12" t="s">
        <v>56</v>
      </c>
      <c r="N112" s="16">
        <v>1</v>
      </c>
    </row>
    <row r="113" spans="1:14" x14ac:dyDescent="0.3">
      <c r="M113" s="12" t="s">
        <v>249</v>
      </c>
      <c r="N113" s="16">
        <v>1</v>
      </c>
    </row>
    <row r="114" spans="1:14" x14ac:dyDescent="0.3">
      <c r="M114" s="12" t="s">
        <v>348</v>
      </c>
      <c r="N114" s="16">
        <v>2</v>
      </c>
    </row>
    <row r="115" spans="1:14" x14ac:dyDescent="0.3">
      <c r="M115" s="12" t="s">
        <v>870</v>
      </c>
      <c r="N115" s="16">
        <v>1</v>
      </c>
    </row>
    <row r="116" spans="1:14" x14ac:dyDescent="0.3">
      <c r="M116" s="12" t="s">
        <v>574</v>
      </c>
      <c r="N116" s="16">
        <v>1</v>
      </c>
    </row>
    <row r="117" spans="1:14" x14ac:dyDescent="0.3">
      <c r="M117" s="12" t="s">
        <v>327</v>
      </c>
      <c r="N117" s="16">
        <v>1</v>
      </c>
    </row>
    <row r="118" spans="1:14" x14ac:dyDescent="0.3">
      <c r="M118" s="12" t="s">
        <v>642</v>
      </c>
      <c r="N118" s="16">
        <v>1</v>
      </c>
    </row>
    <row r="119" spans="1:14" x14ac:dyDescent="0.3">
      <c r="A119" s="13" t="s">
        <v>885</v>
      </c>
      <c r="B119" t="s">
        <v>905</v>
      </c>
      <c r="M119" s="12" t="s">
        <v>554</v>
      </c>
      <c r="N119" s="16">
        <v>3</v>
      </c>
    </row>
    <row r="120" spans="1:14" x14ac:dyDescent="0.3">
      <c r="A120" s="12" t="s">
        <v>816</v>
      </c>
      <c r="B120" s="16">
        <v>1</v>
      </c>
      <c r="M120" s="12" t="s">
        <v>212</v>
      </c>
      <c r="N120" s="16">
        <v>3</v>
      </c>
    </row>
    <row r="121" spans="1:14" x14ac:dyDescent="0.3">
      <c r="A121" s="12" t="s">
        <v>129</v>
      </c>
      <c r="B121" s="16">
        <v>3</v>
      </c>
      <c r="M121" s="12" t="s">
        <v>198</v>
      </c>
      <c r="N121" s="16">
        <v>3</v>
      </c>
    </row>
    <row r="122" spans="1:14" x14ac:dyDescent="0.3">
      <c r="A122" s="12" t="s">
        <v>60</v>
      </c>
      <c r="B122" s="16">
        <v>1</v>
      </c>
      <c r="M122" s="12" t="s">
        <v>679</v>
      </c>
      <c r="N122" s="16">
        <v>1</v>
      </c>
    </row>
    <row r="123" spans="1:14" x14ac:dyDescent="0.3">
      <c r="A123" s="12" t="s">
        <v>547</v>
      </c>
      <c r="B123" s="16">
        <v>1</v>
      </c>
      <c r="M123" s="12" t="s">
        <v>325</v>
      </c>
      <c r="N123" s="16">
        <v>2</v>
      </c>
    </row>
    <row r="124" spans="1:14" x14ac:dyDescent="0.3">
      <c r="A124" s="12" t="s">
        <v>475</v>
      </c>
      <c r="B124" s="16">
        <v>3</v>
      </c>
      <c r="M124" s="12" t="s">
        <v>801</v>
      </c>
      <c r="N124" s="16">
        <v>1</v>
      </c>
    </row>
    <row r="125" spans="1:14" x14ac:dyDescent="0.3">
      <c r="A125" s="12" t="s">
        <v>145</v>
      </c>
      <c r="B125" s="16">
        <v>2</v>
      </c>
      <c r="M125" s="12" t="s">
        <v>868</v>
      </c>
      <c r="N125" s="16">
        <v>1</v>
      </c>
    </row>
    <row r="126" spans="1:14" x14ac:dyDescent="0.3">
      <c r="A126" s="12" t="s">
        <v>750</v>
      </c>
      <c r="B126" s="16">
        <v>1</v>
      </c>
      <c r="M126" s="12" t="s">
        <v>147</v>
      </c>
      <c r="N126" s="16">
        <v>1</v>
      </c>
    </row>
    <row r="127" spans="1:14" x14ac:dyDescent="0.3">
      <c r="A127" s="12" t="s">
        <v>231</v>
      </c>
      <c r="B127" s="16">
        <v>4</v>
      </c>
      <c r="M127" s="12" t="s">
        <v>217</v>
      </c>
      <c r="N127" s="16">
        <v>2</v>
      </c>
    </row>
    <row r="128" spans="1:14" x14ac:dyDescent="0.3">
      <c r="A128" s="12" t="s">
        <v>568</v>
      </c>
      <c r="B128" s="16">
        <v>1</v>
      </c>
      <c r="M128" s="12" t="s">
        <v>458</v>
      </c>
      <c r="N128" s="16">
        <v>1</v>
      </c>
    </row>
    <row r="129" spans="1:14" x14ac:dyDescent="0.3">
      <c r="A129" s="12" t="s">
        <v>201</v>
      </c>
      <c r="B129" s="16">
        <v>2</v>
      </c>
      <c r="M129" s="12" t="s">
        <v>702</v>
      </c>
      <c r="N129" s="16">
        <v>1</v>
      </c>
    </row>
    <row r="130" spans="1:14" x14ac:dyDescent="0.3">
      <c r="A130" s="12" t="s">
        <v>549</v>
      </c>
      <c r="B130" s="16">
        <v>3</v>
      </c>
      <c r="M130" s="12" t="s">
        <v>465</v>
      </c>
      <c r="N130" s="16">
        <v>1</v>
      </c>
    </row>
    <row r="131" spans="1:14" x14ac:dyDescent="0.3">
      <c r="A131" s="12" t="s">
        <v>251</v>
      </c>
      <c r="B131" s="16">
        <v>1</v>
      </c>
      <c r="M131" s="12" t="s">
        <v>551</v>
      </c>
      <c r="N131" s="16">
        <v>1</v>
      </c>
    </row>
    <row r="132" spans="1:14" x14ac:dyDescent="0.3">
      <c r="A132" s="12" t="s">
        <v>270</v>
      </c>
      <c r="B132" s="16">
        <v>3</v>
      </c>
      <c r="M132" s="12" t="s">
        <v>721</v>
      </c>
      <c r="N132" s="16">
        <v>1</v>
      </c>
    </row>
    <row r="133" spans="1:14" x14ac:dyDescent="0.3">
      <c r="A133" s="12" t="s">
        <v>301</v>
      </c>
      <c r="B133" s="16">
        <v>1</v>
      </c>
      <c r="M133" s="12" t="s">
        <v>713</v>
      </c>
      <c r="N133" s="16">
        <v>1</v>
      </c>
    </row>
    <row r="134" spans="1:14" x14ac:dyDescent="0.3">
      <c r="A134" s="12" t="s">
        <v>847</v>
      </c>
      <c r="B134" s="16">
        <v>1</v>
      </c>
      <c r="M134" s="12" t="s">
        <v>153</v>
      </c>
      <c r="N134" s="16">
        <v>1</v>
      </c>
    </row>
    <row r="135" spans="1:14" x14ac:dyDescent="0.3">
      <c r="A135" s="12" t="s">
        <v>660</v>
      </c>
      <c r="B135" s="16">
        <v>1</v>
      </c>
      <c r="M135" s="12" t="s">
        <v>645</v>
      </c>
      <c r="N135" s="16">
        <v>1</v>
      </c>
    </row>
    <row r="136" spans="1:14" x14ac:dyDescent="0.3">
      <c r="A136" s="12" t="s">
        <v>835</v>
      </c>
      <c r="B136" s="16">
        <v>1</v>
      </c>
      <c r="M136" s="12" t="s">
        <v>159</v>
      </c>
      <c r="N136" s="16">
        <v>1</v>
      </c>
    </row>
    <row r="137" spans="1:14" x14ac:dyDescent="0.3">
      <c r="A137" s="12" t="s">
        <v>795</v>
      </c>
      <c r="B137" s="16">
        <v>1</v>
      </c>
      <c r="M137" s="12" t="s">
        <v>742</v>
      </c>
      <c r="N137" s="16">
        <v>1</v>
      </c>
    </row>
    <row r="138" spans="1:14" x14ac:dyDescent="0.3">
      <c r="A138" s="12" t="s">
        <v>489</v>
      </c>
      <c r="B138" s="16">
        <v>3</v>
      </c>
      <c r="M138" s="12" t="s">
        <v>769</v>
      </c>
      <c r="N138" s="16">
        <v>1</v>
      </c>
    </row>
    <row r="139" spans="1:14" x14ac:dyDescent="0.3">
      <c r="A139" s="12" t="s">
        <v>388</v>
      </c>
      <c r="B139" s="16">
        <v>2</v>
      </c>
      <c r="M139" s="12" t="s">
        <v>500</v>
      </c>
      <c r="N139" s="16">
        <v>1</v>
      </c>
    </row>
    <row r="140" spans="1:14" x14ac:dyDescent="0.3">
      <c r="A140" s="12" t="s">
        <v>209</v>
      </c>
      <c r="B140" s="16">
        <v>1</v>
      </c>
      <c r="M140" s="12" t="s">
        <v>690</v>
      </c>
      <c r="N140" s="16">
        <v>2</v>
      </c>
    </row>
    <row r="141" spans="1:14" x14ac:dyDescent="0.3">
      <c r="A141" s="12" t="s">
        <v>382</v>
      </c>
      <c r="B141" s="16">
        <v>1</v>
      </c>
      <c r="M141" s="12" t="s">
        <v>853</v>
      </c>
      <c r="N141" s="16">
        <v>1</v>
      </c>
    </row>
    <row r="142" spans="1:14" x14ac:dyDescent="0.3">
      <c r="A142" s="12" t="s">
        <v>303</v>
      </c>
      <c r="B142" s="16">
        <v>2</v>
      </c>
      <c r="M142" s="12" t="s">
        <v>878</v>
      </c>
      <c r="N142" s="16">
        <v>1</v>
      </c>
    </row>
    <row r="143" spans="1:14" x14ac:dyDescent="0.3">
      <c r="A143" s="12" t="s">
        <v>414</v>
      </c>
      <c r="B143" s="16">
        <v>1</v>
      </c>
      <c r="M143" s="12" t="s">
        <v>365</v>
      </c>
      <c r="N143" s="16">
        <v>1</v>
      </c>
    </row>
    <row r="144" spans="1:14" x14ac:dyDescent="0.3">
      <c r="A144" s="12" t="s">
        <v>56</v>
      </c>
      <c r="B144" s="16">
        <v>1</v>
      </c>
      <c r="M144" s="12" t="s">
        <v>268</v>
      </c>
      <c r="N144" s="16">
        <v>3</v>
      </c>
    </row>
    <row r="145" spans="1:14" x14ac:dyDescent="0.3">
      <c r="A145" s="12" t="s">
        <v>249</v>
      </c>
      <c r="B145" s="16">
        <v>1</v>
      </c>
      <c r="M145" s="12" t="s">
        <v>357</v>
      </c>
      <c r="N145" s="16">
        <v>1</v>
      </c>
    </row>
    <row r="146" spans="1:14" x14ac:dyDescent="0.3">
      <c r="A146" s="12" t="s">
        <v>348</v>
      </c>
      <c r="B146" s="16">
        <v>2</v>
      </c>
      <c r="M146" s="12" t="s">
        <v>355</v>
      </c>
      <c r="N146" s="16">
        <v>1</v>
      </c>
    </row>
    <row r="147" spans="1:14" x14ac:dyDescent="0.3">
      <c r="A147" s="12" t="s">
        <v>870</v>
      </c>
      <c r="B147" s="16">
        <v>1</v>
      </c>
      <c r="M147" s="12" t="s">
        <v>754</v>
      </c>
      <c r="N147" s="16">
        <v>1</v>
      </c>
    </row>
    <row r="148" spans="1:14" x14ac:dyDescent="0.3">
      <c r="A148" s="12" t="s">
        <v>574</v>
      </c>
      <c r="B148" s="16">
        <v>1</v>
      </c>
      <c r="M148" s="12" t="s">
        <v>203</v>
      </c>
      <c r="N148" s="16">
        <v>3</v>
      </c>
    </row>
    <row r="149" spans="1:14" x14ac:dyDescent="0.3">
      <c r="A149" s="12" t="s">
        <v>327</v>
      </c>
      <c r="B149" s="16">
        <v>1</v>
      </c>
      <c r="M149" s="12" t="s">
        <v>481</v>
      </c>
      <c r="N149" s="16">
        <v>1</v>
      </c>
    </row>
    <row r="150" spans="1:14" x14ac:dyDescent="0.3">
      <c r="A150" s="12" t="s">
        <v>642</v>
      </c>
      <c r="B150" s="16">
        <v>1</v>
      </c>
      <c r="M150" s="12" t="s">
        <v>404</v>
      </c>
      <c r="N150" s="16">
        <v>1</v>
      </c>
    </row>
    <row r="151" spans="1:14" x14ac:dyDescent="0.3">
      <c r="A151" s="12" t="s">
        <v>554</v>
      </c>
      <c r="B151" s="16">
        <v>3</v>
      </c>
      <c r="M151" s="12" t="s">
        <v>161</v>
      </c>
      <c r="N151" s="16">
        <v>3</v>
      </c>
    </row>
    <row r="152" spans="1:14" x14ac:dyDescent="0.3">
      <c r="A152" s="12" t="s">
        <v>212</v>
      </c>
      <c r="B152" s="16">
        <v>3</v>
      </c>
      <c r="M152" s="12" t="s">
        <v>621</v>
      </c>
      <c r="N152" s="16">
        <v>1</v>
      </c>
    </row>
    <row r="153" spans="1:14" x14ac:dyDescent="0.3">
      <c r="A153" s="12" t="s">
        <v>198</v>
      </c>
      <c r="B153" s="16">
        <v>3</v>
      </c>
      <c r="M153" s="12" t="s">
        <v>617</v>
      </c>
      <c r="N153" s="16">
        <v>3</v>
      </c>
    </row>
    <row r="154" spans="1:14" x14ac:dyDescent="0.3">
      <c r="A154" s="12" t="s">
        <v>679</v>
      </c>
      <c r="B154" s="16">
        <v>1</v>
      </c>
      <c r="M154" s="12" t="s">
        <v>88</v>
      </c>
      <c r="N154" s="16">
        <v>1</v>
      </c>
    </row>
    <row r="155" spans="1:14" x14ac:dyDescent="0.3">
      <c r="A155" s="12" t="s">
        <v>325</v>
      </c>
      <c r="B155" s="16">
        <v>2</v>
      </c>
      <c r="M155" s="12" t="s">
        <v>43</v>
      </c>
      <c r="N155" s="16">
        <v>3</v>
      </c>
    </row>
    <row r="156" spans="1:14" x14ac:dyDescent="0.3">
      <c r="A156" s="12" t="s">
        <v>801</v>
      </c>
      <c r="B156" s="16">
        <v>1</v>
      </c>
      <c r="M156" s="12" t="s">
        <v>513</v>
      </c>
      <c r="N156" s="16">
        <v>1</v>
      </c>
    </row>
    <row r="157" spans="1:14" x14ac:dyDescent="0.3">
      <c r="A157" s="12" t="s">
        <v>868</v>
      </c>
      <c r="B157" s="16">
        <v>1</v>
      </c>
      <c r="M157" s="12" t="s">
        <v>763</v>
      </c>
      <c r="N157" s="16">
        <v>1</v>
      </c>
    </row>
    <row r="158" spans="1:14" x14ac:dyDescent="0.3">
      <c r="A158" s="12" t="s">
        <v>147</v>
      </c>
      <c r="B158" s="16">
        <v>1</v>
      </c>
      <c r="M158" s="12" t="s">
        <v>390</v>
      </c>
      <c r="N158" s="16">
        <v>1</v>
      </c>
    </row>
    <row r="159" spans="1:14" x14ac:dyDescent="0.3">
      <c r="A159" s="12" t="s">
        <v>217</v>
      </c>
      <c r="B159" s="16">
        <v>2</v>
      </c>
      <c r="M159" s="12" t="s">
        <v>169</v>
      </c>
      <c r="N159" s="16">
        <v>1</v>
      </c>
    </row>
    <row r="160" spans="1:14" x14ac:dyDescent="0.3">
      <c r="A160" s="12" t="s">
        <v>458</v>
      </c>
      <c r="B160" s="16">
        <v>1</v>
      </c>
      <c r="M160" s="12" t="s">
        <v>321</v>
      </c>
      <c r="N160" s="16">
        <v>1</v>
      </c>
    </row>
    <row r="161" spans="1:14" x14ac:dyDescent="0.3">
      <c r="A161" s="12" t="s">
        <v>702</v>
      </c>
      <c r="B161" s="16">
        <v>1</v>
      </c>
      <c r="M161" s="12" t="s">
        <v>602</v>
      </c>
      <c r="N161" s="16">
        <v>1</v>
      </c>
    </row>
    <row r="162" spans="1:14" x14ac:dyDescent="0.3">
      <c r="A162" s="12" t="s">
        <v>465</v>
      </c>
      <c r="B162" s="16">
        <v>1</v>
      </c>
      <c r="M162" s="12" t="s">
        <v>508</v>
      </c>
      <c r="N162" s="16">
        <v>1</v>
      </c>
    </row>
    <row r="163" spans="1:14" x14ac:dyDescent="0.3">
      <c r="A163" s="12" t="s">
        <v>551</v>
      </c>
      <c r="B163" s="16">
        <v>1</v>
      </c>
      <c r="M163" s="12" t="s">
        <v>299</v>
      </c>
      <c r="N163" s="16">
        <v>1</v>
      </c>
    </row>
    <row r="164" spans="1:14" x14ac:dyDescent="0.3">
      <c r="A164" s="12" t="s">
        <v>721</v>
      </c>
      <c r="B164" s="16">
        <v>1</v>
      </c>
      <c r="M164" s="12" t="s">
        <v>227</v>
      </c>
      <c r="N164" s="16">
        <v>2</v>
      </c>
    </row>
    <row r="165" spans="1:14" x14ac:dyDescent="0.3">
      <c r="A165" s="12" t="s">
        <v>713</v>
      </c>
      <c r="B165" s="16">
        <v>1</v>
      </c>
      <c r="M165" s="12" t="s">
        <v>658</v>
      </c>
      <c r="N165" s="16">
        <v>1</v>
      </c>
    </row>
    <row r="166" spans="1:14" x14ac:dyDescent="0.3">
      <c r="A166" s="12" t="s">
        <v>153</v>
      </c>
      <c r="B166" s="16">
        <v>1</v>
      </c>
      <c r="M166" s="12" t="s">
        <v>186</v>
      </c>
      <c r="N166" s="16">
        <v>1</v>
      </c>
    </row>
    <row r="167" spans="1:14" x14ac:dyDescent="0.3">
      <c r="A167" s="12" t="s">
        <v>645</v>
      </c>
      <c r="B167" s="16">
        <v>1</v>
      </c>
      <c r="M167" s="12" t="s">
        <v>477</v>
      </c>
      <c r="N167" s="16">
        <v>3</v>
      </c>
    </row>
    <row r="168" spans="1:14" x14ac:dyDescent="0.3">
      <c r="A168" s="12" t="s">
        <v>159</v>
      </c>
      <c r="B168" s="16">
        <v>1</v>
      </c>
      <c r="M168" s="12" t="s">
        <v>455</v>
      </c>
      <c r="N168" s="16">
        <v>1</v>
      </c>
    </row>
    <row r="169" spans="1:14" x14ac:dyDescent="0.3">
      <c r="A169" s="12" t="s">
        <v>742</v>
      </c>
      <c r="B169" s="16">
        <v>1</v>
      </c>
      <c r="M169" s="12" t="s">
        <v>342</v>
      </c>
      <c r="N169" s="16">
        <v>1</v>
      </c>
    </row>
    <row r="170" spans="1:14" x14ac:dyDescent="0.3">
      <c r="A170" s="12" t="s">
        <v>769</v>
      </c>
      <c r="B170" s="16">
        <v>1</v>
      </c>
      <c r="C170">
        <f>COUNTA(A120:A455)</f>
        <v>336</v>
      </c>
      <c r="M170" s="12" t="s">
        <v>685</v>
      </c>
      <c r="N170" s="16">
        <v>1</v>
      </c>
    </row>
    <row r="171" spans="1:14" x14ac:dyDescent="0.3">
      <c r="A171" s="12" t="s">
        <v>500</v>
      </c>
      <c r="B171" s="16">
        <v>1</v>
      </c>
      <c r="M171" s="12" t="s">
        <v>811</v>
      </c>
      <c r="N171" s="16">
        <v>1</v>
      </c>
    </row>
    <row r="172" spans="1:14" x14ac:dyDescent="0.3">
      <c r="A172" s="12" t="s">
        <v>690</v>
      </c>
      <c r="B172" s="16">
        <v>2</v>
      </c>
      <c r="M172" s="12" t="s">
        <v>876</v>
      </c>
      <c r="N172" s="16">
        <v>1</v>
      </c>
    </row>
    <row r="173" spans="1:14" x14ac:dyDescent="0.3">
      <c r="A173" s="12" t="s">
        <v>853</v>
      </c>
      <c r="B173" s="16">
        <v>1</v>
      </c>
      <c r="M173" s="12" t="s">
        <v>784</v>
      </c>
      <c r="N173" s="16">
        <v>1</v>
      </c>
    </row>
    <row r="174" spans="1:14" x14ac:dyDescent="0.3">
      <c r="A174" s="12" t="s">
        <v>878</v>
      </c>
      <c r="B174" s="16">
        <v>1</v>
      </c>
      <c r="M174" s="12" t="s">
        <v>435</v>
      </c>
      <c r="N174" s="16">
        <v>3</v>
      </c>
    </row>
    <row r="175" spans="1:14" x14ac:dyDescent="0.3">
      <c r="A175" s="12" t="s">
        <v>365</v>
      </c>
      <c r="B175" s="16">
        <v>1</v>
      </c>
      <c r="M175" s="12" t="s">
        <v>560</v>
      </c>
      <c r="N175" s="16">
        <v>1</v>
      </c>
    </row>
    <row r="176" spans="1:14" x14ac:dyDescent="0.3">
      <c r="A176" s="12" t="s">
        <v>268</v>
      </c>
      <c r="B176" s="16">
        <v>3</v>
      </c>
      <c r="M176" s="12" t="s">
        <v>408</v>
      </c>
      <c r="N176" s="16">
        <v>1</v>
      </c>
    </row>
    <row r="177" spans="1:14" x14ac:dyDescent="0.3">
      <c r="A177" s="12" t="s">
        <v>357</v>
      </c>
      <c r="B177" s="16">
        <v>1</v>
      </c>
      <c r="M177" s="12" t="s">
        <v>532</v>
      </c>
      <c r="N177" s="16">
        <v>1</v>
      </c>
    </row>
    <row r="178" spans="1:14" x14ac:dyDescent="0.3">
      <c r="A178" s="12" t="s">
        <v>355</v>
      </c>
      <c r="B178" s="16">
        <v>1</v>
      </c>
      <c r="M178" s="12" t="s">
        <v>163</v>
      </c>
      <c r="N178" s="16">
        <v>1</v>
      </c>
    </row>
    <row r="179" spans="1:14" x14ac:dyDescent="0.3">
      <c r="A179" s="12" t="s">
        <v>754</v>
      </c>
      <c r="B179" s="16">
        <v>1</v>
      </c>
      <c r="M179" s="12" t="s">
        <v>272</v>
      </c>
      <c r="N179" s="16">
        <v>1</v>
      </c>
    </row>
    <row r="180" spans="1:14" x14ac:dyDescent="0.3">
      <c r="A180" s="12" t="s">
        <v>203</v>
      </c>
      <c r="B180" s="16">
        <v>3</v>
      </c>
      <c r="M180" s="12" t="s">
        <v>799</v>
      </c>
      <c r="N180" s="16">
        <v>1</v>
      </c>
    </row>
    <row r="181" spans="1:14" x14ac:dyDescent="0.3">
      <c r="A181" s="12" t="s">
        <v>481</v>
      </c>
      <c r="B181" s="16">
        <v>1</v>
      </c>
      <c r="M181" s="12" t="s">
        <v>540</v>
      </c>
      <c r="N181" s="16">
        <v>2</v>
      </c>
    </row>
    <row r="182" spans="1:14" x14ac:dyDescent="0.3">
      <c r="A182" s="12" t="s">
        <v>404</v>
      </c>
      <c r="B182" s="16">
        <v>1</v>
      </c>
      <c r="M182" s="12" t="s">
        <v>143</v>
      </c>
      <c r="N182" s="16">
        <v>2</v>
      </c>
    </row>
    <row r="183" spans="1:14" x14ac:dyDescent="0.3">
      <c r="A183" s="12" t="s">
        <v>161</v>
      </c>
      <c r="B183" s="16">
        <v>3</v>
      </c>
      <c r="M183" s="12" t="s">
        <v>53</v>
      </c>
      <c r="N183" s="16">
        <v>2</v>
      </c>
    </row>
    <row r="184" spans="1:14" x14ac:dyDescent="0.3">
      <c r="A184" s="12" t="s">
        <v>621</v>
      </c>
      <c r="B184" s="16">
        <v>1</v>
      </c>
      <c r="M184" s="12" t="s">
        <v>706</v>
      </c>
      <c r="N184" s="16">
        <v>1</v>
      </c>
    </row>
    <row r="185" spans="1:14" x14ac:dyDescent="0.3">
      <c r="A185" s="12" t="s">
        <v>617</v>
      </c>
      <c r="B185" s="16">
        <v>3</v>
      </c>
      <c r="M185" s="12" t="s">
        <v>563</v>
      </c>
      <c r="N185" s="16">
        <v>1</v>
      </c>
    </row>
    <row r="186" spans="1:14" x14ac:dyDescent="0.3">
      <c r="A186" s="12" t="s">
        <v>88</v>
      </c>
      <c r="B186" s="16">
        <v>1</v>
      </c>
      <c r="M186" s="12" t="s">
        <v>151</v>
      </c>
      <c r="N186" s="16">
        <v>1</v>
      </c>
    </row>
    <row r="187" spans="1:14" x14ac:dyDescent="0.3">
      <c r="A187" s="12" t="s">
        <v>43</v>
      </c>
      <c r="B187" s="16">
        <v>3</v>
      </c>
      <c r="M187" s="12" t="s">
        <v>15</v>
      </c>
      <c r="N187" s="16">
        <v>1</v>
      </c>
    </row>
    <row r="188" spans="1:14" x14ac:dyDescent="0.3">
      <c r="A188" s="12" t="s">
        <v>513</v>
      </c>
      <c r="B188" s="16">
        <v>1</v>
      </c>
      <c r="M188" s="12" t="s">
        <v>688</v>
      </c>
      <c r="N188" s="16">
        <v>1</v>
      </c>
    </row>
    <row r="189" spans="1:14" x14ac:dyDescent="0.3">
      <c r="A189" s="12" t="s">
        <v>763</v>
      </c>
      <c r="B189" s="16">
        <v>1</v>
      </c>
      <c r="M189" s="12" t="s">
        <v>831</v>
      </c>
      <c r="N189" s="16">
        <v>1</v>
      </c>
    </row>
    <row r="190" spans="1:14" x14ac:dyDescent="0.3">
      <c r="A190" s="12" t="s">
        <v>390</v>
      </c>
      <c r="B190" s="16">
        <v>1</v>
      </c>
      <c r="M190" s="12" t="s">
        <v>6</v>
      </c>
      <c r="N190" s="16">
        <v>1</v>
      </c>
    </row>
    <row r="191" spans="1:14" x14ac:dyDescent="0.3">
      <c r="A191" s="12" t="s">
        <v>169</v>
      </c>
      <c r="B191" s="16">
        <v>1</v>
      </c>
      <c r="M191" s="12" t="s">
        <v>243</v>
      </c>
      <c r="N191" s="16">
        <v>3</v>
      </c>
    </row>
    <row r="192" spans="1:14" x14ac:dyDescent="0.3">
      <c r="A192" s="12" t="s">
        <v>321</v>
      </c>
      <c r="B192" s="16">
        <v>1</v>
      </c>
      <c r="M192" s="12" t="s">
        <v>386</v>
      </c>
      <c r="N192" s="16">
        <v>1</v>
      </c>
    </row>
    <row r="193" spans="1:14" x14ac:dyDescent="0.3">
      <c r="A193" s="12" t="s">
        <v>602</v>
      </c>
      <c r="B193" s="16">
        <v>1</v>
      </c>
      <c r="M193" s="12" t="s">
        <v>425</v>
      </c>
      <c r="N193" s="16">
        <v>3</v>
      </c>
    </row>
    <row r="194" spans="1:14" x14ac:dyDescent="0.3">
      <c r="A194" s="12" t="s">
        <v>508</v>
      </c>
      <c r="B194" s="16">
        <v>1</v>
      </c>
      <c r="M194" s="12" t="s">
        <v>874</v>
      </c>
      <c r="N194" s="16">
        <v>1</v>
      </c>
    </row>
    <row r="195" spans="1:14" x14ac:dyDescent="0.3">
      <c r="A195" s="12" t="s">
        <v>299</v>
      </c>
      <c r="B195" s="16">
        <v>1</v>
      </c>
      <c r="M195" s="12" t="s">
        <v>107</v>
      </c>
      <c r="N195" s="16">
        <v>2</v>
      </c>
    </row>
    <row r="196" spans="1:14" x14ac:dyDescent="0.3">
      <c r="A196" s="12" t="s">
        <v>227</v>
      </c>
      <c r="B196" s="16">
        <v>2</v>
      </c>
      <c r="M196" s="12" t="s">
        <v>71</v>
      </c>
      <c r="N196" s="16">
        <v>1</v>
      </c>
    </row>
    <row r="197" spans="1:14" x14ac:dyDescent="0.3">
      <c r="A197" s="12" t="s">
        <v>658</v>
      </c>
      <c r="B197" s="16">
        <v>1</v>
      </c>
      <c r="M197" s="12" t="s">
        <v>259</v>
      </c>
      <c r="N197" s="16">
        <v>3</v>
      </c>
    </row>
    <row r="198" spans="1:14" x14ac:dyDescent="0.3">
      <c r="A198" s="12" t="s">
        <v>186</v>
      </c>
      <c r="B198" s="16">
        <v>1</v>
      </c>
      <c r="M198" s="12" t="s">
        <v>234</v>
      </c>
      <c r="N198" s="16">
        <v>1</v>
      </c>
    </row>
    <row r="199" spans="1:14" x14ac:dyDescent="0.3">
      <c r="A199" s="12" t="s">
        <v>477</v>
      </c>
      <c r="B199" s="16">
        <v>3</v>
      </c>
      <c r="M199" s="12" t="s">
        <v>804</v>
      </c>
      <c r="N199" s="16">
        <v>1</v>
      </c>
    </row>
    <row r="200" spans="1:14" x14ac:dyDescent="0.3">
      <c r="A200" s="12" t="s">
        <v>455</v>
      </c>
      <c r="B200" s="16">
        <v>1</v>
      </c>
      <c r="M200" s="12" t="s">
        <v>674</v>
      </c>
      <c r="N200" s="16">
        <v>1</v>
      </c>
    </row>
    <row r="201" spans="1:14" x14ac:dyDescent="0.3">
      <c r="A201" s="12" t="s">
        <v>342</v>
      </c>
      <c r="B201" s="16">
        <v>1</v>
      </c>
      <c r="M201" s="12" t="s">
        <v>78</v>
      </c>
      <c r="N201" s="16">
        <v>1</v>
      </c>
    </row>
    <row r="202" spans="1:14" x14ac:dyDescent="0.3">
      <c r="A202" s="12" t="s">
        <v>685</v>
      </c>
      <c r="B202" s="16">
        <v>1</v>
      </c>
      <c r="M202" s="12" t="s">
        <v>137</v>
      </c>
      <c r="N202" s="16">
        <v>3</v>
      </c>
    </row>
    <row r="203" spans="1:14" x14ac:dyDescent="0.3">
      <c r="A203" s="12" t="s">
        <v>811</v>
      </c>
      <c r="B203" s="16">
        <v>1</v>
      </c>
      <c r="M203" s="12" t="s">
        <v>585</v>
      </c>
      <c r="N203" s="16">
        <v>1</v>
      </c>
    </row>
    <row r="204" spans="1:14" x14ac:dyDescent="0.3">
      <c r="A204" s="12" t="s">
        <v>876</v>
      </c>
      <c r="B204" s="16">
        <v>1</v>
      </c>
      <c r="M204" s="12" t="s">
        <v>92</v>
      </c>
      <c r="N204" s="16">
        <v>1</v>
      </c>
    </row>
    <row r="205" spans="1:14" x14ac:dyDescent="0.3">
      <c r="A205" s="12" t="s">
        <v>784</v>
      </c>
      <c r="B205" s="16">
        <v>1</v>
      </c>
      <c r="M205" s="12" t="s">
        <v>717</v>
      </c>
      <c r="N205" s="16">
        <v>1</v>
      </c>
    </row>
    <row r="206" spans="1:14" x14ac:dyDescent="0.3">
      <c r="A206" s="12" t="s">
        <v>435</v>
      </c>
      <c r="B206" s="16">
        <v>3</v>
      </c>
      <c r="M206" s="12" t="s">
        <v>839</v>
      </c>
      <c r="N206" s="16">
        <v>1</v>
      </c>
    </row>
    <row r="207" spans="1:14" x14ac:dyDescent="0.3">
      <c r="A207" s="12" t="s">
        <v>560</v>
      </c>
      <c r="B207" s="16">
        <v>1</v>
      </c>
      <c r="M207" s="12" t="s">
        <v>287</v>
      </c>
      <c r="N207" s="16">
        <v>1</v>
      </c>
    </row>
    <row r="208" spans="1:14" x14ac:dyDescent="0.3">
      <c r="A208" s="12" t="s">
        <v>408</v>
      </c>
      <c r="B208" s="16">
        <v>1</v>
      </c>
      <c r="M208" s="12" t="s">
        <v>693</v>
      </c>
      <c r="N208" s="16">
        <v>1</v>
      </c>
    </row>
    <row r="209" spans="1:14" x14ac:dyDescent="0.3">
      <c r="A209" s="12" t="s">
        <v>532</v>
      </c>
      <c r="B209" s="16">
        <v>1</v>
      </c>
      <c r="M209" s="12" t="s">
        <v>264</v>
      </c>
      <c r="N209" s="16">
        <v>3</v>
      </c>
    </row>
    <row r="210" spans="1:14" x14ac:dyDescent="0.3">
      <c r="A210" s="12" t="s">
        <v>163</v>
      </c>
      <c r="B210" s="16">
        <v>1</v>
      </c>
      <c r="M210" s="12" t="s">
        <v>471</v>
      </c>
      <c r="N210" s="16">
        <v>1</v>
      </c>
    </row>
    <row r="211" spans="1:14" x14ac:dyDescent="0.3">
      <c r="A211" s="12" t="s">
        <v>272</v>
      </c>
      <c r="B211" s="16">
        <v>1</v>
      </c>
      <c r="M211" s="12" t="s">
        <v>412</v>
      </c>
      <c r="N211" s="16">
        <v>2</v>
      </c>
    </row>
    <row r="212" spans="1:14" x14ac:dyDescent="0.3">
      <c r="A212" s="12" t="s">
        <v>799</v>
      </c>
      <c r="B212" s="16">
        <v>1</v>
      </c>
      <c r="M212" s="12" t="s">
        <v>558</v>
      </c>
      <c r="N212" s="16">
        <v>1</v>
      </c>
    </row>
    <row r="213" spans="1:14" x14ac:dyDescent="0.3">
      <c r="A213" s="12" t="s">
        <v>540</v>
      </c>
      <c r="B213" s="16">
        <v>2</v>
      </c>
      <c r="M213" s="12" t="s">
        <v>529</v>
      </c>
      <c r="N213" s="16">
        <v>3</v>
      </c>
    </row>
    <row r="214" spans="1:14" x14ac:dyDescent="0.3">
      <c r="A214" s="12" t="s">
        <v>143</v>
      </c>
      <c r="B214" s="16">
        <v>2</v>
      </c>
      <c r="M214" s="12" t="s">
        <v>535</v>
      </c>
      <c r="N214" s="16">
        <v>1</v>
      </c>
    </row>
    <row r="215" spans="1:14" x14ac:dyDescent="0.3">
      <c r="A215" s="12" t="s">
        <v>53</v>
      </c>
      <c r="B215" s="16">
        <v>2</v>
      </c>
      <c r="M215" s="12" t="s">
        <v>236</v>
      </c>
      <c r="N215" s="16">
        <v>2</v>
      </c>
    </row>
    <row r="216" spans="1:14" x14ac:dyDescent="0.3">
      <c r="A216" s="12" t="s">
        <v>706</v>
      </c>
      <c r="B216" s="16">
        <v>1</v>
      </c>
      <c r="M216" s="12" t="s">
        <v>379</v>
      </c>
      <c r="N216" s="16">
        <v>1</v>
      </c>
    </row>
    <row r="217" spans="1:14" x14ac:dyDescent="0.3">
      <c r="A217" s="12" t="s">
        <v>563</v>
      </c>
      <c r="B217" s="16">
        <v>1</v>
      </c>
      <c r="M217" s="12" t="s">
        <v>363</v>
      </c>
      <c r="N217" s="16">
        <v>3</v>
      </c>
    </row>
    <row r="218" spans="1:14" x14ac:dyDescent="0.3">
      <c r="A218" s="12" t="s">
        <v>151</v>
      </c>
      <c r="B218" s="16">
        <v>1</v>
      </c>
      <c r="M218" s="12" t="s">
        <v>396</v>
      </c>
      <c r="N218" s="16">
        <v>1</v>
      </c>
    </row>
    <row r="219" spans="1:14" x14ac:dyDescent="0.3">
      <c r="A219" s="12" t="s">
        <v>15</v>
      </c>
      <c r="B219" s="16">
        <v>1</v>
      </c>
      <c r="M219" s="12" t="s">
        <v>207</v>
      </c>
      <c r="N219" s="16">
        <v>2</v>
      </c>
    </row>
    <row r="220" spans="1:14" x14ac:dyDescent="0.3">
      <c r="A220" s="12" t="s">
        <v>688</v>
      </c>
      <c r="B220" s="16">
        <v>1</v>
      </c>
      <c r="M220" s="12" t="s">
        <v>307</v>
      </c>
      <c r="N220" s="16">
        <v>1</v>
      </c>
    </row>
    <row r="221" spans="1:14" x14ac:dyDescent="0.3">
      <c r="A221" s="12" t="s">
        <v>831</v>
      </c>
      <c r="B221" s="16">
        <v>1</v>
      </c>
      <c r="M221" s="12" t="s">
        <v>511</v>
      </c>
      <c r="N221" s="16">
        <v>2</v>
      </c>
    </row>
    <row r="222" spans="1:14" x14ac:dyDescent="0.3">
      <c r="A222" s="12" t="s">
        <v>6</v>
      </c>
      <c r="B222" s="16">
        <v>1</v>
      </c>
      <c r="M222" s="12" t="s">
        <v>771</v>
      </c>
      <c r="N222" s="16">
        <v>1</v>
      </c>
    </row>
    <row r="223" spans="1:14" x14ac:dyDescent="0.3">
      <c r="A223" s="12" t="s">
        <v>243</v>
      </c>
      <c r="B223" s="16">
        <v>3</v>
      </c>
      <c r="M223" s="12" t="s">
        <v>719</v>
      </c>
      <c r="N223" s="16">
        <v>1</v>
      </c>
    </row>
    <row r="224" spans="1:14" x14ac:dyDescent="0.3">
      <c r="A224" s="12" t="s">
        <v>386</v>
      </c>
      <c r="B224" s="16">
        <v>1</v>
      </c>
      <c r="M224" s="12" t="s">
        <v>178</v>
      </c>
      <c r="N224" s="16">
        <v>2</v>
      </c>
    </row>
    <row r="225" spans="1:14" x14ac:dyDescent="0.3">
      <c r="A225" s="12" t="s">
        <v>425</v>
      </c>
      <c r="B225" s="16">
        <v>3</v>
      </c>
      <c r="M225" s="12" t="s">
        <v>525</v>
      </c>
      <c r="N225" s="16">
        <v>1</v>
      </c>
    </row>
    <row r="226" spans="1:14" x14ac:dyDescent="0.3">
      <c r="A226" s="12" t="s">
        <v>874</v>
      </c>
      <c r="B226" s="16">
        <v>1</v>
      </c>
      <c r="M226" s="12" t="s">
        <v>473</v>
      </c>
      <c r="N226" s="16">
        <v>1</v>
      </c>
    </row>
    <row r="227" spans="1:14" x14ac:dyDescent="0.3">
      <c r="A227" s="12" t="s">
        <v>107</v>
      </c>
      <c r="B227" s="16">
        <v>2</v>
      </c>
      <c r="M227" s="12" t="s">
        <v>47</v>
      </c>
      <c r="N227" s="16">
        <v>1</v>
      </c>
    </row>
    <row r="228" spans="1:14" x14ac:dyDescent="0.3">
      <c r="A228" s="12" t="s">
        <v>71</v>
      </c>
      <c r="B228" s="16">
        <v>1</v>
      </c>
      <c r="M228" s="12" t="s">
        <v>86</v>
      </c>
      <c r="N228" s="16">
        <v>2</v>
      </c>
    </row>
    <row r="229" spans="1:14" x14ac:dyDescent="0.3">
      <c r="A229" s="12" t="s">
        <v>259</v>
      </c>
      <c r="B229" s="16">
        <v>3</v>
      </c>
      <c r="M229" s="12" t="s">
        <v>13</v>
      </c>
      <c r="N229" s="16">
        <v>2</v>
      </c>
    </row>
    <row r="230" spans="1:14" x14ac:dyDescent="0.3">
      <c r="A230" s="12" t="s">
        <v>234</v>
      </c>
      <c r="B230" s="16">
        <v>1</v>
      </c>
      <c r="M230" s="12" t="s">
        <v>10</v>
      </c>
      <c r="N230" s="16">
        <v>2</v>
      </c>
    </row>
    <row r="231" spans="1:14" x14ac:dyDescent="0.3">
      <c r="A231" s="12" t="s">
        <v>804</v>
      </c>
      <c r="B231" s="16">
        <v>1</v>
      </c>
      <c r="M231" s="12" t="s">
        <v>109</v>
      </c>
      <c r="N231" s="16">
        <v>1</v>
      </c>
    </row>
    <row r="232" spans="1:14" x14ac:dyDescent="0.3">
      <c r="A232" s="12" t="s">
        <v>674</v>
      </c>
      <c r="B232" s="16">
        <v>1</v>
      </c>
      <c r="M232" s="12" t="s">
        <v>182</v>
      </c>
      <c r="N232" s="16">
        <v>3</v>
      </c>
    </row>
    <row r="233" spans="1:14" x14ac:dyDescent="0.3">
      <c r="A233" s="12" t="s">
        <v>78</v>
      </c>
      <c r="B233" s="16">
        <v>1</v>
      </c>
      <c r="M233" s="12" t="s">
        <v>723</v>
      </c>
      <c r="N233" s="16">
        <v>1</v>
      </c>
    </row>
    <row r="234" spans="1:14" x14ac:dyDescent="0.3">
      <c r="A234" s="12" t="s">
        <v>137</v>
      </c>
      <c r="B234" s="16">
        <v>3</v>
      </c>
      <c r="M234" s="12" t="s">
        <v>439</v>
      </c>
      <c r="N234" s="16">
        <v>1</v>
      </c>
    </row>
    <row r="235" spans="1:14" x14ac:dyDescent="0.3">
      <c r="A235" s="12" t="s">
        <v>585</v>
      </c>
      <c r="B235" s="16">
        <v>1</v>
      </c>
      <c r="M235" s="12" t="s">
        <v>576</v>
      </c>
      <c r="N235" s="16">
        <v>1</v>
      </c>
    </row>
    <row r="236" spans="1:14" x14ac:dyDescent="0.3">
      <c r="A236" s="12" t="s">
        <v>92</v>
      </c>
      <c r="B236" s="16">
        <v>1</v>
      </c>
      <c r="M236" s="12" t="s">
        <v>822</v>
      </c>
      <c r="N236" s="16">
        <v>2</v>
      </c>
    </row>
    <row r="237" spans="1:14" x14ac:dyDescent="0.3">
      <c r="A237" s="12" t="s">
        <v>717</v>
      </c>
      <c r="B237" s="16">
        <v>1</v>
      </c>
      <c r="M237" s="12" t="s">
        <v>319</v>
      </c>
      <c r="N237" s="16">
        <v>1</v>
      </c>
    </row>
    <row r="238" spans="1:14" x14ac:dyDescent="0.3">
      <c r="A238" s="12" t="s">
        <v>839</v>
      </c>
      <c r="B238" s="16">
        <v>1</v>
      </c>
      <c r="M238" s="12" t="s">
        <v>502</v>
      </c>
      <c r="N238" s="16">
        <v>1</v>
      </c>
    </row>
    <row r="239" spans="1:14" x14ac:dyDescent="0.3">
      <c r="A239" s="12" t="s">
        <v>287</v>
      </c>
      <c r="B239" s="16">
        <v>1</v>
      </c>
      <c r="M239" s="12" t="s">
        <v>165</v>
      </c>
      <c r="N239" s="16">
        <v>3</v>
      </c>
    </row>
    <row r="240" spans="1:14" x14ac:dyDescent="0.3">
      <c r="A240" s="12" t="s">
        <v>693</v>
      </c>
      <c r="B240" s="16">
        <v>1</v>
      </c>
      <c r="M240" s="12" t="s">
        <v>119</v>
      </c>
      <c r="N240" s="16">
        <v>1</v>
      </c>
    </row>
    <row r="241" spans="1:14" x14ac:dyDescent="0.3">
      <c r="A241" s="12" t="s">
        <v>264</v>
      </c>
      <c r="B241" s="16">
        <v>3</v>
      </c>
      <c r="M241" s="12" t="s">
        <v>578</v>
      </c>
      <c r="N241" s="16">
        <v>1</v>
      </c>
    </row>
    <row r="242" spans="1:14" x14ac:dyDescent="0.3">
      <c r="A242" s="12" t="s">
        <v>471</v>
      </c>
      <c r="B242" s="16">
        <v>1</v>
      </c>
      <c r="M242" s="12" t="s">
        <v>681</v>
      </c>
      <c r="N242" s="16">
        <v>1</v>
      </c>
    </row>
    <row r="243" spans="1:14" x14ac:dyDescent="0.3">
      <c r="A243" s="12" t="s">
        <v>412</v>
      </c>
      <c r="B243" s="16">
        <v>2</v>
      </c>
      <c r="M243" s="12" t="s">
        <v>361</v>
      </c>
      <c r="N243" s="16">
        <v>2</v>
      </c>
    </row>
    <row r="244" spans="1:14" x14ac:dyDescent="0.3">
      <c r="A244" s="12" t="s">
        <v>558</v>
      </c>
      <c r="B244" s="16">
        <v>1</v>
      </c>
      <c r="M244" s="12" t="s">
        <v>344</v>
      </c>
      <c r="N244" s="16">
        <v>2</v>
      </c>
    </row>
    <row r="245" spans="1:14" x14ac:dyDescent="0.3">
      <c r="A245" s="12" t="s">
        <v>529</v>
      </c>
      <c r="B245" s="16">
        <v>3</v>
      </c>
      <c r="M245" s="12" t="s">
        <v>650</v>
      </c>
      <c r="N245" s="16">
        <v>1</v>
      </c>
    </row>
    <row r="246" spans="1:14" x14ac:dyDescent="0.3">
      <c r="A246" s="12" t="s">
        <v>535</v>
      </c>
      <c r="B246" s="16">
        <v>1</v>
      </c>
      <c r="M246" s="12" t="s">
        <v>280</v>
      </c>
      <c r="N246" s="16">
        <v>1</v>
      </c>
    </row>
    <row r="247" spans="1:14" x14ac:dyDescent="0.3">
      <c r="A247" s="12" t="s">
        <v>236</v>
      </c>
      <c r="B247" s="16">
        <v>2</v>
      </c>
      <c r="M247" s="12" t="s">
        <v>257</v>
      </c>
      <c r="N247" s="16">
        <v>2</v>
      </c>
    </row>
    <row r="248" spans="1:14" x14ac:dyDescent="0.3">
      <c r="A248" s="12" t="s">
        <v>379</v>
      </c>
      <c r="B248" s="16">
        <v>1</v>
      </c>
      <c r="M248" s="12" t="s">
        <v>96</v>
      </c>
      <c r="N248" s="16">
        <v>2</v>
      </c>
    </row>
    <row r="249" spans="1:14" x14ac:dyDescent="0.3">
      <c r="A249" s="12" t="s">
        <v>363</v>
      </c>
      <c r="B249" s="16">
        <v>3</v>
      </c>
      <c r="M249" s="12" t="s">
        <v>351</v>
      </c>
      <c r="N249" s="16">
        <v>1</v>
      </c>
    </row>
    <row r="250" spans="1:14" x14ac:dyDescent="0.3">
      <c r="A250" s="12" t="s">
        <v>396</v>
      </c>
      <c r="B250" s="16">
        <v>1</v>
      </c>
      <c r="M250" s="12" t="s">
        <v>374</v>
      </c>
      <c r="N250" s="16">
        <v>3</v>
      </c>
    </row>
    <row r="251" spans="1:14" x14ac:dyDescent="0.3">
      <c r="A251" s="12" t="s">
        <v>207</v>
      </c>
      <c r="B251" s="16">
        <v>2</v>
      </c>
      <c r="M251" s="12" t="s">
        <v>174</v>
      </c>
      <c r="N251" s="16">
        <v>1</v>
      </c>
    </row>
    <row r="252" spans="1:14" x14ac:dyDescent="0.3">
      <c r="A252" s="12" t="s">
        <v>307</v>
      </c>
      <c r="B252" s="16">
        <v>1</v>
      </c>
      <c r="M252" s="12" t="s">
        <v>615</v>
      </c>
      <c r="N252" s="16">
        <v>1</v>
      </c>
    </row>
    <row r="253" spans="1:14" x14ac:dyDescent="0.3">
      <c r="A253" s="12" t="s">
        <v>511</v>
      </c>
      <c r="B253" s="16">
        <v>2</v>
      </c>
      <c r="M253" s="12" t="s">
        <v>806</v>
      </c>
      <c r="N253" s="16">
        <v>1</v>
      </c>
    </row>
    <row r="254" spans="1:14" x14ac:dyDescent="0.3">
      <c r="A254" s="12" t="s">
        <v>771</v>
      </c>
      <c r="B254" s="16">
        <v>1</v>
      </c>
      <c r="M254" s="12" t="s">
        <v>291</v>
      </c>
      <c r="N254" s="16">
        <v>1</v>
      </c>
    </row>
    <row r="255" spans="1:14" x14ac:dyDescent="0.3">
      <c r="A255" s="12" t="s">
        <v>719</v>
      </c>
      <c r="B255" s="16">
        <v>1</v>
      </c>
      <c r="M255" s="12" t="s">
        <v>527</v>
      </c>
      <c r="N255" s="16">
        <v>1</v>
      </c>
    </row>
    <row r="256" spans="1:14" x14ac:dyDescent="0.3">
      <c r="A256" s="12" t="s">
        <v>178</v>
      </c>
      <c r="B256" s="16">
        <v>2</v>
      </c>
      <c r="M256" s="12" t="s">
        <v>765</v>
      </c>
      <c r="N256" s="16">
        <v>1</v>
      </c>
    </row>
    <row r="257" spans="1:14" x14ac:dyDescent="0.3">
      <c r="A257" s="12" t="s">
        <v>525</v>
      </c>
      <c r="B257" s="16">
        <v>1</v>
      </c>
      <c r="M257" s="12" t="s">
        <v>195</v>
      </c>
      <c r="N257" s="16">
        <v>2</v>
      </c>
    </row>
    <row r="258" spans="1:14" x14ac:dyDescent="0.3">
      <c r="A258" s="12" t="s">
        <v>473</v>
      </c>
      <c r="B258" s="16">
        <v>1</v>
      </c>
      <c r="M258" s="12" t="s">
        <v>623</v>
      </c>
      <c r="N258" s="16">
        <v>1</v>
      </c>
    </row>
    <row r="259" spans="1:14" x14ac:dyDescent="0.3">
      <c r="A259" s="12" t="s">
        <v>47</v>
      </c>
      <c r="B259" s="16">
        <v>1</v>
      </c>
      <c r="M259" s="12" t="s">
        <v>312</v>
      </c>
      <c r="N259" s="16">
        <v>1</v>
      </c>
    </row>
    <row r="260" spans="1:14" x14ac:dyDescent="0.3">
      <c r="A260" s="12" t="s">
        <v>86</v>
      </c>
      <c r="B260" s="16">
        <v>2</v>
      </c>
      <c r="M260" s="12" t="s">
        <v>837</v>
      </c>
      <c r="N260" s="16">
        <v>1</v>
      </c>
    </row>
    <row r="261" spans="1:14" x14ac:dyDescent="0.3">
      <c r="A261" s="12" t="s">
        <v>13</v>
      </c>
      <c r="B261" s="16">
        <v>2</v>
      </c>
      <c r="M261" s="12" t="s">
        <v>604</v>
      </c>
      <c r="N261" s="16">
        <v>1</v>
      </c>
    </row>
    <row r="262" spans="1:14" x14ac:dyDescent="0.3">
      <c r="A262" s="12" t="s">
        <v>10</v>
      </c>
      <c r="B262" s="16">
        <v>2</v>
      </c>
      <c r="M262" s="12" t="s">
        <v>401</v>
      </c>
      <c r="N262" s="16">
        <v>1</v>
      </c>
    </row>
    <row r="263" spans="1:14" x14ac:dyDescent="0.3">
      <c r="A263" s="12" t="s">
        <v>109</v>
      </c>
      <c r="B263" s="16">
        <v>1</v>
      </c>
      <c r="M263" s="12" t="s">
        <v>99</v>
      </c>
      <c r="N263" s="16">
        <v>1</v>
      </c>
    </row>
    <row r="264" spans="1:14" x14ac:dyDescent="0.3">
      <c r="A264" s="12" t="s">
        <v>182</v>
      </c>
      <c r="B264" s="16">
        <v>3</v>
      </c>
      <c r="M264" s="12" t="s">
        <v>437</v>
      </c>
      <c r="N264" s="16">
        <v>2</v>
      </c>
    </row>
    <row r="265" spans="1:14" x14ac:dyDescent="0.3">
      <c r="A265" s="12" t="s">
        <v>723</v>
      </c>
      <c r="B265" s="16">
        <v>1</v>
      </c>
      <c r="M265" s="12" t="s">
        <v>449</v>
      </c>
      <c r="N265" s="16">
        <v>2</v>
      </c>
    </row>
    <row r="266" spans="1:14" x14ac:dyDescent="0.3">
      <c r="A266" s="12" t="s">
        <v>439</v>
      </c>
      <c r="B266" s="16">
        <v>1</v>
      </c>
      <c r="M266" s="12" t="s">
        <v>774</v>
      </c>
      <c r="N266" s="16">
        <v>1</v>
      </c>
    </row>
    <row r="267" spans="1:14" x14ac:dyDescent="0.3">
      <c r="A267" s="12" t="s">
        <v>576</v>
      </c>
      <c r="B267" s="16">
        <v>1</v>
      </c>
      <c r="M267" s="12" t="s">
        <v>372</v>
      </c>
      <c r="N267" s="16">
        <v>1</v>
      </c>
    </row>
    <row r="268" spans="1:14" x14ac:dyDescent="0.3">
      <c r="A268" s="12" t="s">
        <v>822</v>
      </c>
      <c r="B268" s="16">
        <v>2</v>
      </c>
      <c r="M268" s="12" t="s">
        <v>748</v>
      </c>
      <c r="N268" s="16">
        <v>1</v>
      </c>
    </row>
    <row r="269" spans="1:14" x14ac:dyDescent="0.3">
      <c r="A269" s="12" t="s">
        <v>319</v>
      </c>
      <c r="B269" s="16">
        <v>1</v>
      </c>
      <c r="M269" s="12" t="s">
        <v>376</v>
      </c>
      <c r="N269" s="16">
        <v>1</v>
      </c>
    </row>
    <row r="270" spans="1:14" x14ac:dyDescent="0.3">
      <c r="A270" s="12" t="s">
        <v>502</v>
      </c>
      <c r="B270" s="16">
        <v>1</v>
      </c>
      <c r="M270" s="12" t="s">
        <v>329</v>
      </c>
      <c r="N270" s="16">
        <v>2</v>
      </c>
    </row>
    <row r="271" spans="1:14" x14ac:dyDescent="0.3">
      <c r="A271" s="12" t="s">
        <v>165</v>
      </c>
      <c r="B271" s="16">
        <v>3</v>
      </c>
      <c r="M271" s="12" t="s">
        <v>544</v>
      </c>
      <c r="N271" s="16">
        <v>1</v>
      </c>
    </row>
    <row r="272" spans="1:14" x14ac:dyDescent="0.3">
      <c r="A272" s="12" t="s">
        <v>119</v>
      </c>
      <c r="B272" s="16">
        <v>1</v>
      </c>
      <c r="M272" s="12" t="s">
        <v>240</v>
      </c>
      <c r="N272" s="16">
        <v>1</v>
      </c>
    </row>
    <row r="273" spans="1:14" x14ac:dyDescent="0.3">
      <c r="A273" s="12" t="s">
        <v>578</v>
      </c>
      <c r="B273" s="16">
        <v>1</v>
      </c>
      <c r="M273" s="12" t="s">
        <v>780</v>
      </c>
      <c r="N273" s="16">
        <v>1</v>
      </c>
    </row>
    <row r="274" spans="1:14" x14ac:dyDescent="0.3">
      <c r="A274" s="12" t="s">
        <v>681</v>
      </c>
      <c r="B274" s="16">
        <v>1</v>
      </c>
      <c r="M274" s="12" t="s">
        <v>190</v>
      </c>
      <c r="N274" s="16">
        <v>1</v>
      </c>
    </row>
    <row r="275" spans="1:14" x14ac:dyDescent="0.3">
      <c r="A275" s="12" t="s">
        <v>361</v>
      </c>
      <c r="B275" s="16">
        <v>2</v>
      </c>
      <c r="M275" s="12" t="s">
        <v>565</v>
      </c>
      <c r="N275" s="16">
        <v>1</v>
      </c>
    </row>
    <row r="276" spans="1:14" x14ac:dyDescent="0.3">
      <c r="A276" s="12" t="s">
        <v>344</v>
      </c>
      <c r="B276" s="16">
        <v>2</v>
      </c>
      <c r="M276" s="12" t="s">
        <v>167</v>
      </c>
      <c r="N276" s="16">
        <v>1</v>
      </c>
    </row>
    <row r="277" spans="1:14" x14ac:dyDescent="0.3">
      <c r="A277" s="12" t="s">
        <v>650</v>
      </c>
      <c r="B277" s="16">
        <v>1</v>
      </c>
      <c r="M277" s="12" t="s">
        <v>522</v>
      </c>
      <c r="N277" s="16">
        <v>1</v>
      </c>
    </row>
    <row r="278" spans="1:14" x14ac:dyDescent="0.3">
      <c r="A278" s="12" t="s">
        <v>280</v>
      </c>
      <c r="B278" s="16">
        <v>1</v>
      </c>
      <c r="M278" s="12" t="s">
        <v>739</v>
      </c>
      <c r="N278" s="16">
        <v>1</v>
      </c>
    </row>
    <row r="279" spans="1:14" x14ac:dyDescent="0.3">
      <c r="A279" s="12" t="s">
        <v>257</v>
      </c>
      <c r="B279" s="16">
        <v>2</v>
      </c>
      <c r="M279" s="12" t="s">
        <v>398</v>
      </c>
      <c r="N279" s="16">
        <v>2</v>
      </c>
    </row>
    <row r="280" spans="1:14" x14ac:dyDescent="0.3">
      <c r="A280" s="12" t="s">
        <v>96</v>
      </c>
      <c r="B280" s="16">
        <v>2</v>
      </c>
      <c r="M280" s="12" t="s">
        <v>205</v>
      </c>
      <c r="N280" s="16">
        <v>1</v>
      </c>
    </row>
    <row r="281" spans="1:14" x14ac:dyDescent="0.3">
      <c r="A281" s="12" t="s">
        <v>351</v>
      </c>
      <c r="B281" s="16">
        <v>1</v>
      </c>
      <c r="M281" s="12" t="s">
        <v>139</v>
      </c>
      <c r="N281" s="16">
        <v>2</v>
      </c>
    </row>
    <row r="282" spans="1:14" x14ac:dyDescent="0.3">
      <c r="A282" s="12" t="s">
        <v>374</v>
      </c>
      <c r="B282" s="16">
        <v>3</v>
      </c>
      <c r="M282" s="12" t="s">
        <v>338</v>
      </c>
      <c r="N282" s="16">
        <v>1</v>
      </c>
    </row>
    <row r="283" spans="1:14" x14ac:dyDescent="0.3">
      <c r="A283" s="12" t="s">
        <v>174</v>
      </c>
      <c r="B283" s="16">
        <v>1</v>
      </c>
      <c r="M283" s="12" t="s">
        <v>735</v>
      </c>
      <c r="N283" s="16">
        <v>1</v>
      </c>
    </row>
    <row r="284" spans="1:14" x14ac:dyDescent="0.3">
      <c r="A284" s="12" t="s">
        <v>615</v>
      </c>
      <c r="B284" s="16">
        <v>1</v>
      </c>
      <c r="M284" s="12" t="s">
        <v>262</v>
      </c>
      <c r="N284" s="16">
        <v>1</v>
      </c>
    </row>
    <row r="285" spans="1:14" x14ac:dyDescent="0.3">
      <c r="A285" s="12" t="s">
        <v>806</v>
      </c>
      <c r="B285" s="16">
        <v>1</v>
      </c>
      <c r="M285" s="12" t="s">
        <v>123</v>
      </c>
      <c r="N285" s="16">
        <v>2</v>
      </c>
    </row>
    <row r="286" spans="1:14" x14ac:dyDescent="0.3">
      <c r="A286" s="12" t="s">
        <v>291</v>
      </c>
      <c r="B286" s="16">
        <v>1</v>
      </c>
      <c r="M286" s="12" t="s">
        <v>628</v>
      </c>
      <c r="N286" s="16">
        <v>1</v>
      </c>
    </row>
    <row r="287" spans="1:14" x14ac:dyDescent="0.3">
      <c r="A287" s="12" t="s">
        <v>527</v>
      </c>
      <c r="B287" s="16">
        <v>1</v>
      </c>
      <c r="M287" s="12" t="s">
        <v>827</v>
      </c>
      <c r="N287" s="16">
        <v>2</v>
      </c>
    </row>
    <row r="288" spans="1:14" x14ac:dyDescent="0.3">
      <c r="A288" s="12" t="s">
        <v>765</v>
      </c>
      <c r="B288" s="16">
        <v>1</v>
      </c>
      <c r="M288" s="12" t="s">
        <v>818</v>
      </c>
      <c r="N288" s="16">
        <v>1</v>
      </c>
    </row>
    <row r="289" spans="1:14" x14ac:dyDescent="0.3">
      <c r="A289" s="12" t="s">
        <v>195</v>
      </c>
      <c r="B289" s="16">
        <v>2</v>
      </c>
      <c r="M289" s="12" t="s">
        <v>334</v>
      </c>
      <c r="N289" s="16">
        <v>3</v>
      </c>
    </row>
    <row r="290" spans="1:14" x14ac:dyDescent="0.3">
      <c r="A290" s="12" t="s">
        <v>623</v>
      </c>
      <c r="B290" s="16">
        <v>1</v>
      </c>
      <c r="M290" s="12" t="s">
        <v>346</v>
      </c>
      <c r="N290" s="16">
        <v>1</v>
      </c>
    </row>
    <row r="291" spans="1:14" x14ac:dyDescent="0.3">
      <c r="A291" s="12" t="s">
        <v>312</v>
      </c>
      <c r="B291" s="16">
        <v>1</v>
      </c>
      <c r="M291" s="12" t="s">
        <v>570</v>
      </c>
      <c r="N291" s="16">
        <v>1</v>
      </c>
    </row>
    <row r="292" spans="1:14" x14ac:dyDescent="0.3">
      <c r="A292" s="12" t="s">
        <v>837</v>
      </c>
      <c r="B292" s="16">
        <v>1</v>
      </c>
      <c r="M292" s="12" t="s">
        <v>65</v>
      </c>
      <c r="N292" s="16">
        <v>4</v>
      </c>
    </row>
    <row r="293" spans="1:14" x14ac:dyDescent="0.3">
      <c r="A293" s="12" t="s">
        <v>604</v>
      </c>
      <c r="B293" s="16">
        <v>1</v>
      </c>
      <c r="M293" s="12" t="s">
        <v>115</v>
      </c>
      <c r="N293" s="16">
        <v>2</v>
      </c>
    </row>
    <row r="294" spans="1:14" x14ac:dyDescent="0.3">
      <c r="A294" s="12" t="s">
        <v>401</v>
      </c>
      <c r="B294" s="16">
        <v>1</v>
      </c>
      <c r="M294" s="12" t="s">
        <v>583</v>
      </c>
      <c r="N294" s="16">
        <v>1</v>
      </c>
    </row>
    <row r="295" spans="1:14" x14ac:dyDescent="0.3">
      <c r="A295" s="12" t="s">
        <v>99</v>
      </c>
      <c r="B295" s="16">
        <v>1</v>
      </c>
      <c r="M295" s="12" t="s">
        <v>634</v>
      </c>
      <c r="N295" s="16">
        <v>1</v>
      </c>
    </row>
    <row r="296" spans="1:14" x14ac:dyDescent="0.3">
      <c r="A296" s="12" t="s">
        <v>437</v>
      </c>
      <c r="B296" s="16">
        <v>2</v>
      </c>
      <c r="M296" s="12" t="s">
        <v>253</v>
      </c>
      <c r="N296" s="16">
        <v>2</v>
      </c>
    </row>
    <row r="297" spans="1:14" x14ac:dyDescent="0.3">
      <c r="A297" s="12" t="s">
        <v>449</v>
      </c>
      <c r="B297" s="16">
        <v>2</v>
      </c>
      <c r="M297" s="12" t="s">
        <v>285</v>
      </c>
      <c r="N297" s="16">
        <v>1</v>
      </c>
    </row>
    <row r="298" spans="1:14" x14ac:dyDescent="0.3">
      <c r="A298" s="12" t="s">
        <v>774</v>
      </c>
      <c r="B298" s="16">
        <v>1</v>
      </c>
      <c r="M298" s="12" t="s">
        <v>172</v>
      </c>
      <c r="N298" s="16">
        <v>1</v>
      </c>
    </row>
    <row r="299" spans="1:14" x14ac:dyDescent="0.3">
      <c r="A299" s="12" t="s">
        <v>372</v>
      </c>
      <c r="B299" s="16">
        <v>1</v>
      </c>
      <c r="M299" s="12" t="s">
        <v>479</v>
      </c>
      <c r="N299" s="16">
        <v>1</v>
      </c>
    </row>
    <row r="300" spans="1:14" x14ac:dyDescent="0.3">
      <c r="A300" s="12" t="s">
        <v>748</v>
      </c>
      <c r="B300" s="16">
        <v>1</v>
      </c>
      <c r="M300" s="12" t="s">
        <v>793</v>
      </c>
      <c r="N300" s="16">
        <v>1</v>
      </c>
    </row>
    <row r="301" spans="1:14" x14ac:dyDescent="0.3">
      <c r="A301" s="12" t="s">
        <v>376</v>
      </c>
      <c r="B301" s="16">
        <v>1</v>
      </c>
      <c r="M301" s="12" t="s">
        <v>266</v>
      </c>
      <c r="N301" s="16">
        <v>1</v>
      </c>
    </row>
    <row r="302" spans="1:14" x14ac:dyDescent="0.3">
      <c r="A302" s="12" t="s">
        <v>329</v>
      </c>
      <c r="B302" s="16">
        <v>2</v>
      </c>
      <c r="M302" s="12" t="s">
        <v>708</v>
      </c>
      <c r="N302" s="16">
        <v>1</v>
      </c>
    </row>
    <row r="303" spans="1:14" x14ac:dyDescent="0.3">
      <c r="A303" s="12" t="s">
        <v>544</v>
      </c>
      <c r="B303" s="16">
        <v>1</v>
      </c>
      <c r="M303" s="12" t="s">
        <v>127</v>
      </c>
      <c r="N303" s="16">
        <v>4</v>
      </c>
    </row>
    <row r="304" spans="1:14" x14ac:dyDescent="0.3">
      <c r="A304" s="12" t="s">
        <v>240</v>
      </c>
      <c r="B304" s="16">
        <v>1</v>
      </c>
      <c r="M304" s="12" t="s">
        <v>370</v>
      </c>
      <c r="N304" s="16">
        <v>1</v>
      </c>
    </row>
    <row r="305" spans="1:14" x14ac:dyDescent="0.3">
      <c r="A305" s="12" t="s">
        <v>780</v>
      </c>
      <c r="B305" s="16">
        <v>1</v>
      </c>
      <c r="M305" s="12" t="s">
        <v>844</v>
      </c>
      <c r="N305" s="16">
        <v>2</v>
      </c>
    </row>
    <row r="306" spans="1:14" x14ac:dyDescent="0.3">
      <c r="A306" s="12" t="s">
        <v>190</v>
      </c>
      <c r="B306" s="16">
        <v>1</v>
      </c>
      <c r="M306" s="12" t="s">
        <v>704</v>
      </c>
      <c r="N306" s="16">
        <v>1</v>
      </c>
    </row>
    <row r="307" spans="1:14" x14ac:dyDescent="0.3">
      <c r="A307" s="12" t="s">
        <v>565</v>
      </c>
      <c r="B307" s="16">
        <v>1</v>
      </c>
      <c r="M307" s="12" t="s">
        <v>610</v>
      </c>
      <c r="N307" s="16">
        <v>1</v>
      </c>
    </row>
    <row r="308" spans="1:14" x14ac:dyDescent="0.3">
      <c r="A308" s="12" t="s">
        <v>167</v>
      </c>
      <c r="B308" s="16">
        <v>1</v>
      </c>
      <c r="M308" s="12" t="s">
        <v>461</v>
      </c>
      <c r="N308" s="16">
        <v>3</v>
      </c>
    </row>
    <row r="309" spans="1:14" x14ac:dyDescent="0.3">
      <c r="A309" s="12" t="s">
        <v>522</v>
      </c>
      <c r="B309" s="16">
        <v>1</v>
      </c>
      <c r="M309" s="12" t="s">
        <v>778</v>
      </c>
      <c r="N309" s="16">
        <v>1</v>
      </c>
    </row>
    <row r="310" spans="1:14" x14ac:dyDescent="0.3">
      <c r="A310" s="12" t="s">
        <v>739</v>
      </c>
      <c r="B310" s="16">
        <v>1</v>
      </c>
      <c r="M310" s="12" t="s">
        <v>647</v>
      </c>
      <c r="N310" s="16">
        <v>2</v>
      </c>
    </row>
    <row r="311" spans="1:14" x14ac:dyDescent="0.3">
      <c r="A311" s="12" t="s">
        <v>398</v>
      </c>
      <c r="B311" s="16">
        <v>2</v>
      </c>
      <c r="M311" s="12" t="s">
        <v>289</v>
      </c>
      <c r="N311" s="16">
        <v>2</v>
      </c>
    </row>
    <row r="312" spans="1:14" x14ac:dyDescent="0.3">
      <c r="A312" s="12" t="s">
        <v>205</v>
      </c>
      <c r="B312" s="16">
        <v>1</v>
      </c>
      <c r="M312" s="12" t="s">
        <v>184</v>
      </c>
      <c r="N312" s="16">
        <v>1</v>
      </c>
    </row>
    <row r="313" spans="1:14" x14ac:dyDescent="0.3">
      <c r="A313" s="12" t="s">
        <v>139</v>
      </c>
      <c r="B313" s="16">
        <v>2</v>
      </c>
      <c r="M313" s="12" t="s">
        <v>588</v>
      </c>
      <c r="N313" s="16">
        <v>2</v>
      </c>
    </row>
    <row r="314" spans="1:14" x14ac:dyDescent="0.3">
      <c r="A314" s="12" t="s">
        <v>338</v>
      </c>
      <c r="B314" s="16">
        <v>1</v>
      </c>
      <c r="M314" s="12" t="s">
        <v>667</v>
      </c>
      <c r="N314" s="16">
        <v>1</v>
      </c>
    </row>
    <row r="315" spans="1:14" x14ac:dyDescent="0.3">
      <c r="A315" s="12" t="s">
        <v>735</v>
      </c>
      <c r="B315" s="16">
        <v>1</v>
      </c>
      <c r="M315" s="12" t="s">
        <v>51</v>
      </c>
      <c r="N315" s="16">
        <v>4</v>
      </c>
    </row>
    <row r="316" spans="1:14" x14ac:dyDescent="0.3">
      <c r="A316" s="12" t="s">
        <v>262</v>
      </c>
      <c r="B316" s="16">
        <v>1</v>
      </c>
      <c r="M316" s="12" t="s">
        <v>872</v>
      </c>
      <c r="N316" s="16">
        <v>1</v>
      </c>
    </row>
    <row r="317" spans="1:14" x14ac:dyDescent="0.3">
      <c r="A317" s="12" t="s">
        <v>123</v>
      </c>
      <c r="B317" s="16">
        <v>2</v>
      </c>
      <c r="M317" s="12" t="s">
        <v>274</v>
      </c>
      <c r="N317" s="16">
        <v>1</v>
      </c>
    </row>
    <row r="318" spans="1:14" x14ac:dyDescent="0.3">
      <c r="A318" s="12" t="s">
        <v>628</v>
      </c>
      <c r="B318" s="16">
        <v>1</v>
      </c>
      <c r="M318" s="12" t="s">
        <v>417</v>
      </c>
      <c r="N318" s="16">
        <v>1</v>
      </c>
    </row>
    <row r="319" spans="1:14" x14ac:dyDescent="0.3">
      <c r="A319" s="12" t="s">
        <v>827</v>
      </c>
      <c r="B319" s="16">
        <v>2</v>
      </c>
      <c r="M319" s="12" t="s">
        <v>497</v>
      </c>
      <c r="N319" s="16">
        <v>3</v>
      </c>
    </row>
    <row r="320" spans="1:14" x14ac:dyDescent="0.3">
      <c r="A320" s="12" t="s">
        <v>818</v>
      </c>
      <c r="B320" s="16">
        <v>1</v>
      </c>
      <c r="M320" s="12" t="s">
        <v>255</v>
      </c>
      <c r="N320" s="16">
        <v>2</v>
      </c>
    </row>
    <row r="321" spans="1:14" x14ac:dyDescent="0.3">
      <c r="A321" s="12" t="s">
        <v>334</v>
      </c>
      <c r="B321" s="16">
        <v>3</v>
      </c>
      <c r="M321" s="12" t="s">
        <v>814</v>
      </c>
      <c r="N321" s="16">
        <v>1</v>
      </c>
    </row>
    <row r="322" spans="1:14" x14ac:dyDescent="0.3">
      <c r="A322" s="12" t="s">
        <v>346</v>
      </c>
      <c r="B322" s="16">
        <v>1</v>
      </c>
      <c r="M322" s="12" t="s">
        <v>453</v>
      </c>
      <c r="N322" s="16">
        <v>2</v>
      </c>
    </row>
    <row r="323" spans="1:14" x14ac:dyDescent="0.3">
      <c r="A323" s="12" t="s">
        <v>570</v>
      </c>
      <c r="B323" s="16">
        <v>1</v>
      </c>
      <c r="M323" s="12" t="s">
        <v>866</v>
      </c>
      <c r="N323" s="16">
        <v>1</v>
      </c>
    </row>
    <row r="324" spans="1:14" x14ac:dyDescent="0.3">
      <c r="A324" s="12" t="s">
        <v>65</v>
      </c>
      <c r="B324" s="16">
        <v>4</v>
      </c>
      <c r="M324" s="12" t="s">
        <v>656</v>
      </c>
      <c r="N324" s="16">
        <v>1</v>
      </c>
    </row>
    <row r="325" spans="1:14" x14ac:dyDescent="0.3">
      <c r="A325" s="12" t="s">
        <v>115</v>
      </c>
      <c r="B325" s="16">
        <v>2</v>
      </c>
      <c r="M325" s="12" t="s">
        <v>727</v>
      </c>
      <c r="N325" s="16">
        <v>1</v>
      </c>
    </row>
    <row r="326" spans="1:14" x14ac:dyDescent="0.3">
      <c r="A326" s="12" t="s">
        <v>583</v>
      </c>
      <c r="B326" s="16">
        <v>1</v>
      </c>
      <c r="M326" s="12" t="s">
        <v>594</v>
      </c>
      <c r="N326" s="16">
        <v>1</v>
      </c>
    </row>
    <row r="327" spans="1:14" x14ac:dyDescent="0.3">
      <c r="A327" s="12" t="s">
        <v>634</v>
      </c>
      <c r="B327" s="16">
        <v>1</v>
      </c>
      <c r="M327" s="12" t="s">
        <v>180</v>
      </c>
      <c r="N327" s="16">
        <v>2</v>
      </c>
    </row>
    <row r="328" spans="1:14" x14ac:dyDescent="0.3">
      <c r="A328" s="12" t="s">
        <v>253</v>
      </c>
      <c r="B328" s="16">
        <v>2</v>
      </c>
      <c r="M328" s="12" t="s">
        <v>441</v>
      </c>
      <c r="N328" s="16">
        <v>3</v>
      </c>
    </row>
    <row r="329" spans="1:14" x14ac:dyDescent="0.3">
      <c r="A329" s="12" t="s">
        <v>285</v>
      </c>
      <c r="B329" s="16">
        <v>1</v>
      </c>
      <c r="M329" s="12" t="s">
        <v>445</v>
      </c>
      <c r="N329" s="16">
        <v>1</v>
      </c>
    </row>
    <row r="330" spans="1:14" x14ac:dyDescent="0.3">
      <c r="A330" s="12" t="s">
        <v>172</v>
      </c>
      <c r="B330" s="16">
        <v>1</v>
      </c>
      <c r="M330" s="12" t="s">
        <v>276</v>
      </c>
      <c r="N330" s="16">
        <v>1</v>
      </c>
    </row>
    <row r="331" spans="1:14" x14ac:dyDescent="0.3">
      <c r="A331" s="12" t="s">
        <v>479</v>
      </c>
      <c r="B331" s="16">
        <v>1</v>
      </c>
      <c r="M331" s="12" t="s">
        <v>632</v>
      </c>
      <c r="N331" s="16">
        <v>2</v>
      </c>
    </row>
    <row r="332" spans="1:14" x14ac:dyDescent="0.3">
      <c r="A332" s="12" t="s">
        <v>793</v>
      </c>
      <c r="B332" s="16">
        <v>1</v>
      </c>
      <c r="M332" s="12" t="s">
        <v>636</v>
      </c>
      <c r="N332" s="16">
        <v>1</v>
      </c>
    </row>
    <row r="333" spans="1:14" x14ac:dyDescent="0.3">
      <c r="A333" s="12" t="s">
        <v>266</v>
      </c>
      <c r="B333" s="16">
        <v>1</v>
      </c>
      <c r="M333" s="12" t="s">
        <v>29</v>
      </c>
      <c r="N333" s="16">
        <v>3</v>
      </c>
    </row>
    <row r="334" spans="1:14" x14ac:dyDescent="0.3">
      <c r="A334" s="12" t="s">
        <v>708</v>
      </c>
      <c r="B334" s="16">
        <v>1</v>
      </c>
      <c r="M334" s="12" t="s">
        <v>443</v>
      </c>
      <c r="N334" s="16">
        <v>1</v>
      </c>
    </row>
    <row r="335" spans="1:14" x14ac:dyDescent="0.3">
      <c r="A335" s="12" t="s">
        <v>127</v>
      </c>
      <c r="B335" s="16">
        <v>4</v>
      </c>
      <c r="M335" s="12" t="s">
        <v>84</v>
      </c>
      <c r="N335" s="16">
        <v>1</v>
      </c>
    </row>
    <row r="336" spans="1:14" x14ac:dyDescent="0.3">
      <c r="A336" s="12" t="s">
        <v>370</v>
      </c>
      <c r="B336" s="16">
        <v>1</v>
      </c>
      <c r="M336" s="12" t="s">
        <v>638</v>
      </c>
      <c r="N336" s="16">
        <v>2</v>
      </c>
    </row>
    <row r="337" spans="1:14" x14ac:dyDescent="0.3">
      <c r="A337" s="12" t="s">
        <v>844</v>
      </c>
      <c r="B337" s="16">
        <v>2</v>
      </c>
      <c r="M337" s="12" t="s">
        <v>135</v>
      </c>
      <c r="N337" s="16">
        <v>1</v>
      </c>
    </row>
    <row r="338" spans="1:14" x14ac:dyDescent="0.3">
      <c r="A338" s="12" t="s">
        <v>704</v>
      </c>
      <c r="B338" s="16">
        <v>1</v>
      </c>
      <c r="M338" s="12" t="s">
        <v>220</v>
      </c>
      <c r="N338" s="16">
        <v>1</v>
      </c>
    </row>
    <row r="339" spans="1:14" x14ac:dyDescent="0.3">
      <c r="A339" s="12" t="s">
        <v>610</v>
      </c>
      <c r="B339" s="16">
        <v>1</v>
      </c>
      <c r="M339" s="12" t="s">
        <v>626</v>
      </c>
      <c r="N339" s="16">
        <v>1</v>
      </c>
    </row>
    <row r="340" spans="1:14" x14ac:dyDescent="0.3">
      <c r="A340" s="12" t="s">
        <v>461</v>
      </c>
      <c r="B340" s="16">
        <v>3</v>
      </c>
      <c r="M340" s="12" t="s">
        <v>293</v>
      </c>
      <c r="N340" s="16">
        <v>2</v>
      </c>
    </row>
    <row r="341" spans="1:14" x14ac:dyDescent="0.3">
      <c r="A341" s="12" t="s">
        <v>778</v>
      </c>
      <c r="B341" s="16">
        <v>1</v>
      </c>
      <c r="M341" s="12" t="s">
        <v>111</v>
      </c>
      <c r="N341" s="16">
        <v>1</v>
      </c>
    </row>
    <row r="342" spans="1:14" x14ac:dyDescent="0.3">
      <c r="A342" s="12" t="s">
        <v>647</v>
      </c>
      <c r="B342" s="16">
        <v>2</v>
      </c>
      <c r="M342" s="12" t="s">
        <v>295</v>
      </c>
      <c r="N342" s="16">
        <v>1</v>
      </c>
    </row>
    <row r="343" spans="1:14" x14ac:dyDescent="0.3">
      <c r="A343" s="12" t="s">
        <v>289</v>
      </c>
      <c r="B343" s="16">
        <v>2</v>
      </c>
      <c r="M343" s="12" t="s">
        <v>113</v>
      </c>
      <c r="N343" s="16">
        <v>4</v>
      </c>
    </row>
    <row r="344" spans="1:14" x14ac:dyDescent="0.3">
      <c r="A344" s="12" t="s">
        <v>184</v>
      </c>
      <c r="B344" s="16">
        <v>1</v>
      </c>
      <c r="M344" s="12" t="s">
        <v>572</v>
      </c>
      <c r="N344" s="16">
        <v>2</v>
      </c>
    </row>
    <row r="345" spans="1:14" x14ac:dyDescent="0.3">
      <c r="A345" s="12" t="s">
        <v>588</v>
      </c>
      <c r="B345" s="16">
        <v>2</v>
      </c>
      <c r="M345" s="12" t="s">
        <v>433</v>
      </c>
      <c r="N345" s="16">
        <v>2</v>
      </c>
    </row>
    <row r="346" spans="1:14" x14ac:dyDescent="0.3">
      <c r="A346" s="12" t="s">
        <v>667</v>
      </c>
      <c r="B346" s="16">
        <v>1</v>
      </c>
      <c r="M346" s="12" t="s">
        <v>31</v>
      </c>
      <c r="N346" s="16">
        <v>1</v>
      </c>
    </row>
    <row r="347" spans="1:14" x14ac:dyDescent="0.3">
      <c r="A347" s="12" t="s">
        <v>51</v>
      </c>
      <c r="B347" s="16">
        <v>4</v>
      </c>
      <c r="M347" s="12" t="s">
        <v>26</v>
      </c>
      <c r="N347" s="16">
        <v>1</v>
      </c>
    </row>
    <row r="348" spans="1:14" x14ac:dyDescent="0.3">
      <c r="A348" s="12" t="s">
        <v>872</v>
      </c>
      <c r="B348" s="16">
        <v>1</v>
      </c>
      <c r="M348" s="12" t="s">
        <v>215</v>
      </c>
      <c r="N348" s="16">
        <v>2</v>
      </c>
    </row>
    <row r="349" spans="1:14" x14ac:dyDescent="0.3">
      <c r="A349" s="12" t="s">
        <v>274</v>
      </c>
      <c r="B349" s="16">
        <v>1</v>
      </c>
      <c r="M349" s="12" t="s">
        <v>359</v>
      </c>
      <c r="N349" s="16">
        <v>2</v>
      </c>
    </row>
    <row r="350" spans="1:14" x14ac:dyDescent="0.3">
      <c r="A350" s="12" t="s">
        <v>417</v>
      </c>
      <c r="B350" s="16">
        <v>1</v>
      </c>
      <c r="M350" s="12" t="s">
        <v>683</v>
      </c>
      <c r="N350" s="16">
        <v>2</v>
      </c>
    </row>
    <row r="351" spans="1:14" x14ac:dyDescent="0.3">
      <c r="A351" s="12" t="s">
        <v>497</v>
      </c>
      <c r="B351" s="16">
        <v>3</v>
      </c>
      <c r="M351" s="12" t="s">
        <v>278</v>
      </c>
      <c r="N351" s="16">
        <v>1</v>
      </c>
    </row>
    <row r="352" spans="1:14" x14ac:dyDescent="0.3">
      <c r="A352" s="12" t="s">
        <v>255</v>
      </c>
      <c r="B352" s="16">
        <v>2</v>
      </c>
      <c r="M352" s="12" t="s">
        <v>74</v>
      </c>
      <c r="N352" s="16">
        <v>1</v>
      </c>
    </row>
    <row r="353" spans="1:14" x14ac:dyDescent="0.3">
      <c r="A353" s="12" t="s">
        <v>814</v>
      </c>
      <c r="B353" s="16">
        <v>1</v>
      </c>
      <c r="M353" s="12" t="s">
        <v>225</v>
      </c>
      <c r="N353" s="16">
        <v>6</v>
      </c>
    </row>
    <row r="354" spans="1:14" x14ac:dyDescent="0.3">
      <c r="A354" s="12" t="s">
        <v>453</v>
      </c>
      <c r="B354" s="16">
        <v>2</v>
      </c>
      <c r="M354" s="12" t="s">
        <v>103</v>
      </c>
      <c r="N354" s="16">
        <v>1</v>
      </c>
    </row>
    <row r="355" spans="1:14" x14ac:dyDescent="0.3">
      <c r="A355" s="12" t="s">
        <v>866</v>
      </c>
      <c r="B355" s="16">
        <v>1</v>
      </c>
      <c r="M355" s="12" t="s">
        <v>39</v>
      </c>
      <c r="N355" s="16">
        <v>1</v>
      </c>
    </row>
    <row r="356" spans="1:14" x14ac:dyDescent="0.3">
      <c r="A356" s="12" t="s">
        <v>656</v>
      </c>
      <c r="B356" s="16">
        <v>1</v>
      </c>
      <c r="M356" s="12" t="s">
        <v>67</v>
      </c>
      <c r="N356" s="16">
        <v>3</v>
      </c>
    </row>
    <row r="357" spans="1:14" x14ac:dyDescent="0.3">
      <c r="A357" s="12" t="s">
        <v>727</v>
      </c>
      <c r="B357" s="16">
        <v>1</v>
      </c>
      <c r="M357" s="12" t="s">
        <v>94</v>
      </c>
      <c r="N357" s="16">
        <v>4</v>
      </c>
    </row>
    <row r="358" spans="1:14" x14ac:dyDescent="0.3">
      <c r="A358" s="12" t="s">
        <v>594</v>
      </c>
      <c r="B358" s="16">
        <v>1</v>
      </c>
      <c r="M358" s="12" t="s">
        <v>314</v>
      </c>
      <c r="N358" s="16">
        <v>5</v>
      </c>
    </row>
    <row r="359" spans="1:14" x14ac:dyDescent="0.3">
      <c r="A359" s="12" t="s">
        <v>180</v>
      </c>
      <c r="B359" s="16">
        <v>2</v>
      </c>
      <c r="M359" s="12" t="s">
        <v>664</v>
      </c>
      <c r="N359" s="16">
        <v>1</v>
      </c>
    </row>
    <row r="360" spans="1:14" x14ac:dyDescent="0.3">
      <c r="A360" s="12" t="s">
        <v>441</v>
      </c>
      <c r="B360" s="16">
        <v>3</v>
      </c>
      <c r="M360" s="12" t="s">
        <v>229</v>
      </c>
      <c r="N360" s="16">
        <v>3</v>
      </c>
    </row>
    <row r="361" spans="1:14" x14ac:dyDescent="0.3">
      <c r="A361" s="12" t="s">
        <v>445</v>
      </c>
      <c r="B361" s="16">
        <v>1</v>
      </c>
      <c r="M361" s="12" t="s">
        <v>710</v>
      </c>
      <c r="N361" s="16">
        <v>1</v>
      </c>
    </row>
    <row r="362" spans="1:14" x14ac:dyDescent="0.3">
      <c r="A362" s="12" t="s">
        <v>276</v>
      </c>
      <c r="B362" s="16">
        <v>1</v>
      </c>
      <c r="M362" s="12" t="s">
        <v>125</v>
      </c>
      <c r="N362" s="16">
        <v>2</v>
      </c>
    </row>
    <row r="363" spans="1:14" x14ac:dyDescent="0.3">
      <c r="A363" s="12" t="s">
        <v>632</v>
      </c>
      <c r="B363" s="16">
        <v>2</v>
      </c>
      <c r="M363" s="12" t="s">
        <v>761</v>
      </c>
      <c r="N363" s="16">
        <v>1</v>
      </c>
    </row>
    <row r="364" spans="1:14" x14ac:dyDescent="0.3">
      <c r="A364" s="12" t="s">
        <v>636</v>
      </c>
      <c r="B364" s="16">
        <v>1</v>
      </c>
      <c r="M364" s="12" t="s">
        <v>676</v>
      </c>
      <c r="N364" s="16">
        <v>1</v>
      </c>
    </row>
    <row r="365" spans="1:14" x14ac:dyDescent="0.3">
      <c r="A365" s="12" t="s">
        <v>29</v>
      </c>
      <c r="B365" s="16">
        <v>3</v>
      </c>
      <c r="M365" s="12" t="s">
        <v>504</v>
      </c>
      <c r="N365" s="16">
        <v>1</v>
      </c>
    </row>
    <row r="366" spans="1:14" x14ac:dyDescent="0.3">
      <c r="A366" s="12" t="s">
        <v>443</v>
      </c>
      <c r="B366" s="16">
        <v>1</v>
      </c>
      <c r="M366" s="12" t="s">
        <v>820</v>
      </c>
      <c r="N366" s="16">
        <v>1</v>
      </c>
    </row>
    <row r="367" spans="1:14" x14ac:dyDescent="0.3">
      <c r="A367" s="12" t="s">
        <v>84</v>
      </c>
      <c r="B367" s="16">
        <v>1</v>
      </c>
      <c r="M367" s="12" t="s">
        <v>283</v>
      </c>
      <c r="N367" s="16">
        <v>1</v>
      </c>
    </row>
    <row r="368" spans="1:14" x14ac:dyDescent="0.3">
      <c r="A368" s="12" t="s">
        <v>638</v>
      </c>
      <c r="B368" s="16">
        <v>2</v>
      </c>
      <c r="M368" s="12" t="s">
        <v>697</v>
      </c>
      <c r="N368" s="16">
        <v>3</v>
      </c>
    </row>
    <row r="369" spans="1:14" x14ac:dyDescent="0.3">
      <c r="A369" s="12" t="s">
        <v>135</v>
      </c>
      <c r="B369" s="16">
        <v>1</v>
      </c>
      <c r="M369" s="12" t="s">
        <v>428</v>
      </c>
      <c r="N369" s="16">
        <v>2</v>
      </c>
    </row>
    <row r="370" spans="1:14" x14ac:dyDescent="0.3">
      <c r="A370" s="12" t="s">
        <v>220</v>
      </c>
      <c r="B370" s="16">
        <v>1</v>
      </c>
      <c r="M370" s="12" t="s">
        <v>729</v>
      </c>
      <c r="N370" s="16">
        <v>1</v>
      </c>
    </row>
    <row r="371" spans="1:14" x14ac:dyDescent="0.3">
      <c r="A371" s="12" t="s">
        <v>626</v>
      </c>
      <c r="B371" s="16">
        <v>1</v>
      </c>
      <c r="M371" s="12" t="s">
        <v>384</v>
      </c>
      <c r="N371" s="16">
        <v>2</v>
      </c>
    </row>
    <row r="372" spans="1:14" x14ac:dyDescent="0.3">
      <c r="A372" s="12" t="s">
        <v>293</v>
      </c>
      <c r="B372" s="16">
        <v>2</v>
      </c>
      <c r="M372" s="12" t="s">
        <v>247</v>
      </c>
      <c r="N372" s="16">
        <v>1</v>
      </c>
    </row>
    <row r="373" spans="1:14" x14ac:dyDescent="0.3">
      <c r="A373" s="12" t="s">
        <v>111</v>
      </c>
      <c r="B373" s="16">
        <v>1</v>
      </c>
      <c r="M373" s="12" t="s">
        <v>431</v>
      </c>
      <c r="N373" s="16">
        <v>1</v>
      </c>
    </row>
    <row r="374" spans="1:14" x14ac:dyDescent="0.3">
      <c r="A374" s="12" t="s">
        <v>295</v>
      </c>
      <c r="B374" s="16">
        <v>1</v>
      </c>
      <c r="M374" s="12" t="s">
        <v>468</v>
      </c>
      <c r="N374" s="16">
        <v>1</v>
      </c>
    </row>
    <row r="375" spans="1:14" x14ac:dyDescent="0.3">
      <c r="A375" s="12" t="s">
        <v>113</v>
      </c>
      <c r="B375" s="16">
        <v>4</v>
      </c>
      <c r="M375" s="12" t="s">
        <v>542</v>
      </c>
      <c r="N375" s="16">
        <v>2</v>
      </c>
    </row>
    <row r="376" spans="1:14" x14ac:dyDescent="0.3">
      <c r="A376" s="12" t="s">
        <v>572</v>
      </c>
      <c r="B376" s="16">
        <v>2</v>
      </c>
      <c r="M376" s="12" t="s">
        <v>600</v>
      </c>
      <c r="N376" s="16">
        <v>1</v>
      </c>
    </row>
    <row r="377" spans="1:14" x14ac:dyDescent="0.3">
      <c r="A377" s="12" t="s">
        <v>433</v>
      </c>
      <c r="B377" s="16">
        <v>2</v>
      </c>
      <c r="M377" s="12" t="s">
        <v>23</v>
      </c>
      <c r="N377" s="16">
        <v>1</v>
      </c>
    </row>
    <row r="378" spans="1:14" x14ac:dyDescent="0.3">
      <c r="A378" s="12" t="s">
        <v>31</v>
      </c>
      <c r="B378" s="16">
        <v>1</v>
      </c>
      <c r="M378" s="12" t="s">
        <v>487</v>
      </c>
      <c r="N378" s="16">
        <v>1</v>
      </c>
    </row>
    <row r="379" spans="1:14" x14ac:dyDescent="0.3">
      <c r="A379" s="12" t="s">
        <v>26</v>
      </c>
      <c r="B379" s="16">
        <v>1</v>
      </c>
      <c r="M379" s="12" t="s">
        <v>80</v>
      </c>
      <c r="N379" s="16">
        <v>1</v>
      </c>
    </row>
    <row r="380" spans="1:14" x14ac:dyDescent="0.3">
      <c r="A380" s="12" t="s">
        <v>215</v>
      </c>
      <c r="B380" s="16">
        <v>2</v>
      </c>
      <c r="M380" s="12" t="s">
        <v>590</v>
      </c>
      <c r="N380" s="16">
        <v>1</v>
      </c>
    </row>
    <row r="381" spans="1:14" x14ac:dyDescent="0.3">
      <c r="A381" s="12" t="s">
        <v>359</v>
      </c>
      <c r="B381" s="16">
        <v>2</v>
      </c>
      <c r="M381" s="12" t="s">
        <v>90</v>
      </c>
      <c r="N381" s="16">
        <v>1</v>
      </c>
    </row>
    <row r="382" spans="1:14" x14ac:dyDescent="0.3">
      <c r="A382" s="12" t="s">
        <v>683</v>
      </c>
      <c r="B382" s="16">
        <v>2</v>
      </c>
      <c r="M382" s="12" t="s">
        <v>517</v>
      </c>
      <c r="N382" s="16">
        <v>1</v>
      </c>
    </row>
    <row r="383" spans="1:14" x14ac:dyDescent="0.3">
      <c r="A383" s="12" t="s">
        <v>278</v>
      </c>
      <c r="B383" s="16">
        <v>1</v>
      </c>
      <c r="M383" s="12" t="s">
        <v>340</v>
      </c>
      <c r="N383" s="16">
        <v>1</v>
      </c>
    </row>
    <row r="384" spans="1:14" x14ac:dyDescent="0.3">
      <c r="A384" s="12" t="s">
        <v>74</v>
      </c>
      <c r="B384" s="16">
        <v>1</v>
      </c>
      <c r="M384" s="12" t="s">
        <v>515</v>
      </c>
      <c r="N384" s="16">
        <v>1</v>
      </c>
    </row>
    <row r="385" spans="1:14" x14ac:dyDescent="0.3">
      <c r="A385" s="12" t="s">
        <v>225</v>
      </c>
      <c r="B385" s="16">
        <v>6</v>
      </c>
      <c r="M385" s="12" t="s">
        <v>619</v>
      </c>
      <c r="N385" s="16">
        <v>1</v>
      </c>
    </row>
    <row r="386" spans="1:14" x14ac:dyDescent="0.3">
      <c r="A386" s="12" t="s">
        <v>103</v>
      </c>
      <c r="B386" s="16">
        <v>1</v>
      </c>
      <c r="M386" s="12" t="s">
        <v>850</v>
      </c>
      <c r="N386" s="16">
        <v>1</v>
      </c>
    </row>
    <row r="387" spans="1:14" x14ac:dyDescent="0.3">
      <c r="A387" s="12" t="s">
        <v>39</v>
      </c>
      <c r="B387" s="16">
        <v>1</v>
      </c>
      <c r="M387" s="12" t="s">
        <v>117</v>
      </c>
      <c r="N387" s="16">
        <v>3</v>
      </c>
    </row>
    <row r="388" spans="1:14" x14ac:dyDescent="0.3">
      <c r="A388" s="12" t="s">
        <v>67</v>
      </c>
      <c r="B388" s="16">
        <v>3</v>
      </c>
      <c r="M388" s="12" t="s">
        <v>607</v>
      </c>
      <c r="N388" s="16">
        <v>1</v>
      </c>
    </row>
    <row r="389" spans="1:14" x14ac:dyDescent="0.3">
      <c r="A389" s="12" t="s">
        <v>94</v>
      </c>
      <c r="B389" s="16">
        <v>4</v>
      </c>
      <c r="M389" s="12" t="s">
        <v>420</v>
      </c>
      <c r="N389" s="16">
        <v>2</v>
      </c>
    </row>
    <row r="390" spans="1:14" x14ac:dyDescent="0.3">
      <c r="A390" s="12" t="s">
        <v>314</v>
      </c>
      <c r="B390" s="16">
        <v>5</v>
      </c>
      <c r="M390" s="12" t="s">
        <v>245</v>
      </c>
      <c r="N390" s="16">
        <v>2</v>
      </c>
    </row>
    <row r="391" spans="1:14" x14ac:dyDescent="0.3">
      <c r="A391" s="12" t="s">
        <v>664</v>
      </c>
      <c r="B391" s="16">
        <v>1</v>
      </c>
      <c r="M391" s="12" t="s">
        <v>737</v>
      </c>
      <c r="N391" s="16">
        <v>1</v>
      </c>
    </row>
    <row r="392" spans="1:14" x14ac:dyDescent="0.3">
      <c r="A392" s="12" t="s">
        <v>229</v>
      </c>
      <c r="B392" s="16">
        <v>3</v>
      </c>
      <c r="M392" s="12" t="s">
        <v>447</v>
      </c>
      <c r="N392" s="16">
        <v>2</v>
      </c>
    </row>
    <row r="393" spans="1:14" x14ac:dyDescent="0.3">
      <c r="A393" s="12" t="s">
        <v>710</v>
      </c>
      <c r="B393" s="16">
        <v>1</v>
      </c>
      <c r="M393" s="12" t="s">
        <v>463</v>
      </c>
      <c r="N393" s="16">
        <v>1</v>
      </c>
    </row>
    <row r="394" spans="1:14" x14ac:dyDescent="0.3">
      <c r="A394" s="12" t="s">
        <v>125</v>
      </c>
      <c r="B394" s="16">
        <v>2</v>
      </c>
      <c r="M394" s="12" t="s">
        <v>833</v>
      </c>
      <c r="N394" s="16">
        <v>1</v>
      </c>
    </row>
    <row r="395" spans="1:14" x14ac:dyDescent="0.3">
      <c r="A395" s="12" t="s">
        <v>761</v>
      </c>
      <c r="B395" s="16">
        <v>1</v>
      </c>
      <c r="M395" s="12" t="s">
        <v>596</v>
      </c>
      <c r="N395" s="16">
        <v>1</v>
      </c>
    </row>
    <row r="396" spans="1:14" x14ac:dyDescent="0.3">
      <c r="A396" s="12" t="s">
        <v>676</v>
      </c>
      <c r="B396" s="16">
        <v>1</v>
      </c>
      <c r="M396" s="12" t="s">
        <v>331</v>
      </c>
      <c r="N396" s="16">
        <v>1</v>
      </c>
    </row>
    <row r="397" spans="1:14" x14ac:dyDescent="0.3">
      <c r="A397" s="12" t="s">
        <v>504</v>
      </c>
      <c r="B397" s="16">
        <v>1</v>
      </c>
      <c r="M397" s="12" t="s">
        <v>223</v>
      </c>
      <c r="N397" s="16">
        <v>1</v>
      </c>
    </row>
    <row r="398" spans="1:14" x14ac:dyDescent="0.3">
      <c r="A398" s="12" t="s">
        <v>820</v>
      </c>
      <c r="B398" s="16">
        <v>1</v>
      </c>
      <c r="M398" s="12" t="s">
        <v>654</v>
      </c>
      <c r="N398" s="16">
        <v>1</v>
      </c>
    </row>
    <row r="399" spans="1:14" x14ac:dyDescent="0.3">
      <c r="A399" s="12" t="s">
        <v>283</v>
      </c>
      <c r="B399" s="16">
        <v>1</v>
      </c>
      <c r="M399" s="12" t="s">
        <v>825</v>
      </c>
      <c r="N399" s="16">
        <v>1</v>
      </c>
    </row>
    <row r="400" spans="1:14" x14ac:dyDescent="0.3">
      <c r="A400" s="12" t="s">
        <v>697</v>
      </c>
      <c r="B400" s="16">
        <v>3</v>
      </c>
      <c r="M400" s="12" t="s">
        <v>368</v>
      </c>
      <c r="N400" s="16">
        <v>1</v>
      </c>
    </row>
    <row r="401" spans="1:14" x14ac:dyDescent="0.3">
      <c r="A401" s="12" t="s">
        <v>428</v>
      </c>
      <c r="B401" s="16">
        <v>2</v>
      </c>
      <c r="M401" s="12" t="s">
        <v>238</v>
      </c>
      <c r="N401" s="16">
        <v>1</v>
      </c>
    </row>
    <row r="402" spans="1:14" x14ac:dyDescent="0.3">
      <c r="A402" s="12" t="s">
        <v>729</v>
      </c>
      <c r="B402" s="16">
        <v>1</v>
      </c>
      <c r="M402" s="12" t="s">
        <v>188</v>
      </c>
      <c r="N402" s="16">
        <v>2</v>
      </c>
    </row>
    <row r="403" spans="1:14" x14ac:dyDescent="0.3">
      <c r="A403" s="12" t="s">
        <v>384</v>
      </c>
      <c r="B403" s="16">
        <v>2</v>
      </c>
      <c r="M403" s="12" t="s">
        <v>483</v>
      </c>
      <c r="N403" s="16">
        <v>1</v>
      </c>
    </row>
    <row r="404" spans="1:14" x14ac:dyDescent="0.3">
      <c r="A404" s="12" t="s">
        <v>247</v>
      </c>
      <c r="B404" s="16">
        <v>1</v>
      </c>
      <c r="M404" s="12" t="s">
        <v>556</v>
      </c>
      <c r="N404" s="16">
        <v>2</v>
      </c>
    </row>
    <row r="405" spans="1:14" x14ac:dyDescent="0.3">
      <c r="A405" s="12" t="s">
        <v>431</v>
      </c>
      <c r="B405" s="16">
        <v>1</v>
      </c>
      <c r="M405" s="12" t="s">
        <v>745</v>
      </c>
      <c r="N405" s="16">
        <v>1</v>
      </c>
    </row>
    <row r="406" spans="1:14" x14ac:dyDescent="0.3">
      <c r="A406" s="12" t="s">
        <v>468</v>
      </c>
      <c r="B406" s="16">
        <v>1</v>
      </c>
      <c r="M406" s="12" t="s">
        <v>669</v>
      </c>
      <c r="N406" s="16">
        <v>1</v>
      </c>
    </row>
    <row r="407" spans="1:14" x14ac:dyDescent="0.3">
      <c r="A407" s="12" t="s">
        <v>542</v>
      </c>
      <c r="B407" s="16">
        <v>2</v>
      </c>
      <c r="M407" s="12" t="s">
        <v>37</v>
      </c>
      <c r="N407" s="16">
        <v>1</v>
      </c>
    </row>
    <row r="408" spans="1:14" x14ac:dyDescent="0.3">
      <c r="A408" s="12" t="s">
        <v>600</v>
      </c>
      <c r="B408" s="16">
        <v>1</v>
      </c>
      <c r="M408" s="12" t="s">
        <v>133</v>
      </c>
      <c r="N408" s="16">
        <v>1</v>
      </c>
    </row>
    <row r="409" spans="1:14" x14ac:dyDescent="0.3">
      <c r="A409" s="12" t="s">
        <v>23</v>
      </c>
      <c r="B409" s="16">
        <v>1</v>
      </c>
      <c r="M409" s="12" t="s">
        <v>630</v>
      </c>
      <c r="N409" s="16">
        <v>1</v>
      </c>
    </row>
    <row r="410" spans="1:14" x14ac:dyDescent="0.3">
      <c r="A410" s="12" t="s">
        <v>487</v>
      </c>
      <c r="B410" s="16">
        <v>1</v>
      </c>
      <c r="M410" s="12" t="s">
        <v>394</v>
      </c>
      <c r="N410" s="16">
        <v>3</v>
      </c>
    </row>
    <row r="411" spans="1:14" x14ac:dyDescent="0.3">
      <c r="A411" s="12" t="s">
        <v>80</v>
      </c>
      <c r="B411" s="16">
        <v>1</v>
      </c>
      <c r="M411" s="12" t="s">
        <v>155</v>
      </c>
      <c r="N411" s="16">
        <v>1</v>
      </c>
    </row>
    <row r="412" spans="1:14" x14ac:dyDescent="0.3">
      <c r="A412" s="12" t="s">
        <v>590</v>
      </c>
      <c r="B412" s="16">
        <v>1</v>
      </c>
      <c r="M412" s="12" t="s">
        <v>192</v>
      </c>
      <c r="N412" s="16">
        <v>1</v>
      </c>
    </row>
    <row r="413" spans="1:14" x14ac:dyDescent="0.3">
      <c r="A413" s="12" t="s">
        <v>90</v>
      </c>
      <c r="B413" s="16">
        <v>1</v>
      </c>
      <c r="M413" s="12" t="s">
        <v>406</v>
      </c>
      <c r="N413" s="16">
        <v>1</v>
      </c>
    </row>
    <row r="414" spans="1:14" x14ac:dyDescent="0.3">
      <c r="A414" s="12" t="s">
        <v>517</v>
      </c>
      <c r="B414" s="16">
        <v>1</v>
      </c>
      <c r="M414" s="12" t="s">
        <v>316</v>
      </c>
      <c r="N414" s="16">
        <v>3</v>
      </c>
    </row>
    <row r="415" spans="1:14" x14ac:dyDescent="0.3">
      <c r="A415" s="12" t="s">
        <v>340</v>
      </c>
      <c r="B415" s="16">
        <v>1</v>
      </c>
      <c r="M415" s="12" t="s">
        <v>699</v>
      </c>
      <c r="N415" s="16">
        <v>1</v>
      </c>
    </row>
    <row r="416" spans="1:14" x14ac:dyDescent="0.3">
      <c r="A416" s="12" t="s">
        <v>515</v>
      </c>
      <c r="B416" s="16">
        <v>1</v>
      </c>
      <c r="M416" s="12" t="s">
        <v>19</v>
      </c>
      <c r="N416" s="16">
        <v>2</v>
      </c>
    </row>
    <row r="417" spans="1:14" x14ac:dyDescent="0.3">
      <c r="A417" s="12" t="s">
        <v>619</v>
      </c>
      <c r="B417" s="16">
        <v>1</v>
      </c>
      <c r="M417" s="12" t="s">
        <v>788</v>
      </c>
      <c r="N417" s="16">
        <v>1</v>
      </c>
    </row>
    <row r="418" spans="1:14" x14ac:dyDescent="0.3">
      <c r="A418" s="12" t="s">
        <v>850</v>
      </c>
      <c r="B418" s="16">
        <v>1</v>
      </c>
      <c r="M418" s="12" t="s">
        <v>35</v>
      </c>
      <c r="N418" s="16">
        <v>2</v>
      </c>
    </row>
    <row r="419" spans="1:14" x14ac:dyDescent="0.3">
      <c r="A419" s="12" t="s">
        <v>117</v>
      </c>
      <c r="B419" s="16">
        <v>3</v>
      </c>
      <c r="M419" s="12" t="s">
        <v>756</v>
      </c>
      <c r="N419" s="16">
        <v>1</v>
      </c>
    </row>
    <row r="420" spans="1:14" x14ac:dyDescent="0.3">
      <c r="A420" s="12" t="s">
        <v>607</v>
      </c>
      <c r="B420" s="16">
        <v>1</v>
      </c>
      <c r="M420" s="12" t="s">
        <v>520</v>
      </c>
      <c r="N420" s="16">
        <v>1</v>
      </c>
    </row>
    <row r="421" spans="1:14" x14ac:dyDescent="0.3">
      <c r="A421" s="12" t="s">
        <v>420</v>
      </c>
      <c r="B421" s="16">
        <v>2</v>
      </c>
      <c r="M421" s="12" t="s">
        <v>336</v>
      </c>
      <c r="N421" s="16">
        <v>1</v>
      </c>
    </row>
    <row r="422" spans="1:14" x14ac:dyDescent="0.3">
      <c r="A422" s="12" t="s">
        <v>245</v>
      </c>
      <c r="B422" s="16">
        <v>2</v>
      </c>
      <c r="M422" s="12" t="s">
        <v>45</v>
      </c>
      <c r="N422" s="16">
        <v>4</v>
      </c>
    </row>
    <row r="423" spans="1:14" x14ac:dyDescent="0.3">
      <c r="A423" s="12" t="s">
        <v>737</v>
      </c>
      <c r="B423" s="16">
        <v>1</v>
      </c>
      <c r="M423" s="12" t="s">
        <v>149</v>
      </c>
      <c r="N423" s="16">
        <v>1</v>
      </c>
    </row>
    <row r="424" spans="1:14" x14ac:dyDescent="0.3">
      <c r="A424" s="12" t="s">
        <v>447</v>
      </c>
      <c r="B424" s="16">
        <v>2</v>
      </c>
      <c r="M424" s="12" t="s">
        <v>887</v>
      </c>
      <c r="N424" s="16">
        <v>500</v>
      </c>
    </row>
    <row r="425" spans="1:14" x14ac:dyDescent="0.3">
      <c r="A425" s="12" t="s">
        <v>463</v>
      </c>
      <c r="B425" s="16">
        <v>1</v>
      </c>
    </row>
    <row r="426" spans="1:14" x14ac:dyDescent="0.3">
      <c r="A426" s="12" t="s">
        <v>833</v>
      </c>
      <c r="B426" s="16">
        <v>1</v>
      </c>
    </row>
    <row r="427" spans="1:14" x14ac:dyDescent="0.3">
      <c r="A427" s="12" t="s">
        <v>596</v>
      </c>
      <c r="B427" s="16">
        <v>1</v>
      </c>
    </row>
    <row r="428" spans="1:14" x14ac:dyDescent="0.3">
      <c r="A428" s="12" t="s">
        <v>331</v>
      </c>
      <c r="B428" s="16">
        <v>1</v>
      </c>
    </row>
    <row r="429" spans="1:14" x14ac:dyDescent="0.3">
      <c r="A429" s="12" t="s">
        <v>223</v>
      </c>
      <c r="B429" s="16">
        <v>1</v>
      </c>
    </row>
    <row r="430" spans="1:14" x14ac:dyDescent="0.3">
      <c r="A430" s="12" t="s">
        <v>654</v>
      </c>
      <c r="B430" s="16">
        <v>1</v>
      </c>
    </row>
    <row r="431" spans="1:14" x14ac:dyDescent="0.3">
      <c r="A431" s="12" t="s">
        <v>825</v>
      </c>
      <c r="B431" s="16">
        <v>1</v>
      </c>
    </row>
    <row r="432" spans="1:14" x14ac:dyDescent="0.3">
      <c r="A432" s="12" t="s">
        <v>368</v>
      </c>
      <c r="B432" s="16">
        <v>1</v>
      </c>
    </row>
    <row r="433" spans="1:2" x14ac:dyDescent="0.3">
      <c r="A433" s="12" t="s">
        <v>238</v>
      </c>
      <c r="B433" s="16">
        <v>1</v>
      </c>
    </row>
    <row r="434" spans="1:2" x14ac:dyDescent="0.3">
      <c r="A434" s="12" t="s">
        <v>188</v>
      </c>
      <c r="B434" s="16">
        <v>2</v>
      </c>
    </row>
    <row r="435" spans="1:2" x14ac:dyDescent="0.3">
      <c r="A435" s="12" t="s">
        <v>483</v>
      </c>
      <c r="B435" s="16">
        <v>1</v>
      </c>
    </row>
    <row r="436" spans="1:2" x14ac:dyDescent="0.3">
      <c r="A436" s="12" t="s">
        <v>556</v>
      </c>
      <c r="B436" s="16">
        <v>2</v>
      </c>
    </row>
    <row r="437" spans="1:2" x14ac:dyDescent="0.3">
      <c r="A437" s="12" t="s">
        <v>745</v>
      </c>
      <c r="B437" s="16">
        <v>1</v>
      </c>
    </row>
    <row r="438" spans="1:2" x14ac:dyDescent="0.3">
      <c r="A438" s="12" t="s">
        <v>669</v>
      </c>
      <c r="B438" s="16">
        <v>1</v>
      </c>
    </row>
    <row r="439" spans="1:2" x14ac:dyDescent="0.3">
      <c r="A439" s="12" t="s">
        <v>37</v>
      </c>
      <c r="B439" s="16">
        <v>1</v>
      </c>
    </row>
    <row r="440" spans="1:2" x14ac:dyDescent="0.3">
      <c r="A440" s="12" t="s">
        <v>133</v>
      </c>
      <c r="B440" s="16">
        <v>1</v>
      </c>
    </row>
    <row r="441" spans="1:2" x14ac:dyDescent="0.3">
      <c r="A441" s="12" t="s">
        <v>630</v>
      </c>
      <c r="B441" s="16">
        <v>1</v>
      </c>
    </row>
    <row r="442" spans="1:2" x14ac:dyDescent="0.3">
      <c r="A442" s="12" t="s">
        <v>394</v>
      </c>
      <c r="B442" s="16">
        <v>3</v>
      </c>
    </row>
    <row r="443" spans="1:2" x14ac:dyDescent="0.3">
      <c r="A443" s="12" t="s">
        <v>155</v>
      </c>
      <c r="B443" s="16">
        <v>1</v>
      </c>
    </row>
    <row r="444" spans="1:2" x14ac:dyDescent="0.3">
      <c r="A444" s="12" t="s">
        <v>192</v>
      </c>
      <c r="B444" s="16">
        <v>1</v>
      </c>
    </row>
    <row r="445" spans="1:2" x14ac:dyDescent="0.3">
      <c r="A445" s="12" t="s">
        <v>406</v>
      </c>
      <c r="B445" s="16">
        <v>1</v>
      </c>
    </row>
    <row r="446" spans="1:2" x14ac:dyDescent="0.3">
      <c r="A446" s="12" t="s">
        <v>316</v>
      </c>
      <c r="B446" s="16">
        <v>3</v>
      </c>
    </row>
    <row r="447" spans="1:2" x14ac:dyDescent="0.3">
      <c r="A447" s="12" t="s">
        <v>699</v>
      </c>
      <c r="B447" s="16">
        <v>1</v>
      </c>
    </row>
    <row r="448" spans="1:2" x14ac:dyDescent="0.3">
      <c r="A448" s="12" t="s">
        <v>19</v>
      </c>
      <c r="B448" s="16">
        <v>2</v>
      </c>
    </row>
    <row r="449" spans="1:2" x14ac:dyDescent="0.3">
      <c r="A449" s="12" t="s">
        <v>788</v>
      </c>
      <c r="B449" s="16">
        <v>1</v>
      </c>
    </row>
    <row r="450" spans="1:2" x14ac:dyDescent="0.3">
      <c r="A450" s="12" t="s">
        <v>35</v>
      </c>
      <c r="B450" s="16">
        <v>2</v>
      </c>
    </row>
    <row r="451" spans="1:2" x14ac:dyDescent="0.3">
      <c r="A451" s="12" t="s">
        <v>756</v>
      </c>
      <c r="B451" s="16">
        <v>1</v>
      </c>
    </row>
    <row r="452" spans="1:2" x14ac:dyDescent="0.3">
      <c r="A452" s="12" t="s">
        <v>520</v>
      </c>
      <c r="B452" s="16">
        <v>1</v>
      </c>
    </row>
    <row r="453" spans="1:2" x14ac:dyDescent="0.3">
      <c r="A453" s="12" t="s">
        <v>336</v>
      </c>
      <c r="B453" s="16">
        <v>1</v>
      </c>
    </row>
    <row r="454" spans="1:2" x14ac:dyDescent="0.3">
      <c r="A454" s="12" t="s">
        <v>45</v>
      </c>
      <c r="B454" s="16">
        <v>4</v>
      </c>
    </row>
    <row r="455" spans="1:2" x14ac:dyDescent="0.3">
      <c r="A455" s="12" t="s">
        <v>149</v>
      </c>
      <c r="B455" s="16">
        <v>1</v>
      </c>
    </row>
    <row r="456" spans="1:2" x14ac:dyDescent="0.3">
      <c r="A456" s="12" t="s">
        <v>887</v>
      </c>
      <c r="B456" s="16">
        <v>500</v>
      </c>
    </row>
  </sheetData>
  <mergeCells count="7">
    <mergeCell ref="O87:Q87"/>
    <mergeCell ref="N1:Q1"/>
    <mergeCell ref="A2:B2"/>
    <mergeCell ref="N36:Q36"/>
    <mergeCell ref="A37:B37"/>
    <mergeCell ref="O66:Q66"/>
    <mergeCell ref="A67:B67"/>
  </mergeCells>
  <pageMargins left="0.7" right="0.7" top="0.75" bottom="0.75" header="0.3" footer="0.3"/>
  <drawing r:id="rId10"/>
  <extLst>
    <ext xmlns:x14="http://schemas.microsoft.com/office/spreadsheetml/2009/9/main" uri="{A8765BA9-456A-4dab-B4F3-ACF838C121DE}">
      <x14:slicerList>
        <x14:slicer r:id="rId11"/>
      </x14:slicerList>
    </ext>
    <ext xmlns:x15="http://schemas.microsoft.com/office/spreadsheetml/2010/11/main" uri="{7E03D99C-DC04-49d9-9315-930204A7B6E9}">
      <x15:timelineRefs>
        <x15:timelineRef r:id="rId12"/>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9B2D44-7ABB-4BDC-8EE1-770BEEF30F7C}">
  <dimension ref="A1"/>
  <sheetViews>
    <sheetView topLeftCell="A5" workbookViewId="0">
      <selection activeCell="A18" sqref="A18"/>
    </sheetView>
  </sheetViews>
  <sheetFormatPr defaultRowHeight="14.4" x14ac:dyDescent="0.3"/>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8EA43F-B952-472C-84D8-B097C4048F8D}">
  <dimension ref="A1"/>
  <sheetViews>
    <sheetView tabSelected="1" zoomScale="70" workbookViewId="0">
      <selection activeCell="U27" sqref="U27"/>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490924-5FA7-467D-9B30-382993A3F590}">
  <dimension ref="A1"/>
  <sheetViews>
    <sheetView topLeftCell="A2" zoomScale="78" workbookViewId="0"/>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E29D93-37A8-4B96-B76A-EB457372577A}">
  <dimension ref="A1"/>
  <sheetViews>
    <sheetView topLeftCell="A8" workbookViewId="0"/>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035853-137B-42A6-946B-C1A35E150E01}">
  <dimension ref="A1"/>
  <sheetViews>
    <sheetView zoomScale="75" workbookViewId="0"/>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0221E24-AB77-48D1-A225-C910A7719F5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DATA</vt:lpstr>
      <vt:lpstr>PIVOT TABLE</vt:lpstr>
      <vt:lpstr>DASHBOARD</vt:lpstr>
      <vt:lpstr>ORDER</vt:lpstr>
      <vt:lpstr>CUSTOMER</vt:lpstr>
      <vt:lpstr>CITIES</vt:lpstr>
      <vt:lpstr>STATE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ANKIT KUMAR</dc:creator>
  <cp:lastModifiedBy>ANKIT KUMAR</cp:lastModifiedBy>
  <dcterms:created xsi:type="dcterms:W3CDTF">2026-10-06T12:04:46Z</dcterms:created>
  <dcterms:modified xsi:type="dcterms:W3CDTF">2026-10-07T11:12:41Z</dcterms:modified>
</cp:coreProperties>
</file>